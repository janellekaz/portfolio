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iamiedu-my.sharepoint.com/personal/jxk1462_miami_edu/Documents/Desktop/EVR628/GitHub Portfolio/portfolio/data/raw/"/>
    </mc:Choice>
  </mc:AlternateContent>
  <xr:revisionPtr revIDLastSave="8" documentId="8_{47C56A75-2044-4A33-9E23-147D2FC85DA8}" xr6:coauthVersionLast="47" xr6:coauthVersionMax="47" xr10:uidLastSave="{210993FC-1865-402C-9771-D75AB57CC2E2}"/>
  <bookViews>
    <workbookView xWindow="-105" yWindow="0" windowWidth="14610" windowHeight="15585" activeTab="1" xr2:uid="{D58EA8E2-D2B4-4047-B1D6-8B88B0BE0854}"/>
  </bookViews>
  <sheets>
    <sheet name="savedrec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AE2" i="1"/>
  <c r="Y3" i="1"/>
  <c r="AE3" i="1"/>
  <c r="Y4" i="1"/>
  <c r="AE4" i="1"/>
  <c r="Y5" i="1"/>
  <c r="AE5" i="1"/>
  <c r="Y6" i="1"/>
  <c r="AE6" i="1"/>
  <c r="Y7" i="1"/>
  <c r="AE7" i="1"/>
  <c r="Y8" i="1"/>
  <c r="AE8" i="1"/>
  <c r="Y9" i="1"/>
  <c r="AE9" i="1"/>
  <c r="Y10" i="1"/>
  <c r="AE10" i="1"/>
  <c r="Y11" i="1"/>
  <c r="AE11" i="1"/>
  <c r="Y12" i="1"/>
  <c r="AE12" i="1"/>
  <c r="Y13" i="1"/>
  <c r="AE13" i="1"/>
  <c r="Y14" i="1"/>
  <c r="AE14" i="1"/>
  <c r="Y15" i="1"/>
  <c r="AE15" i="1"/>
  <c r="Y16" i="1"/>
  <c r="AE16" i="1"/>
  <c r="Y17" i="1"/>
  <c r="AE17" i="1"/>
  <c r="Y18" i="1"/>
  <c r="AE18" i="1"/>
  <c r="Y19" i="1"/>
  <c r="AE19" i="1"/>
  <c r="Y20" i="1"/>
  <c r="AE20" i="1"/>
  <c r="Y21" i="1"/>
  <c r="AE21" i="1"/>
  <c r="Y22" i="1"/>
  <c r="AE22" i="1"/>
  <c r="Y23" i="1"/>
  <c r="AE23" i="1"/>
  <c r="Y24" i="1"/>
  <c r="AE24" i="1"/>
  <c r="Y25" i="1"/>
  <c r="AE25" i="1"/>
  <c r="Y26" i="1"/>
  <c r="AE26" i="1"/>
  <c r="Y27" i="1"/>
  <c r="AE27" i="1"/>
  <c r="Y28" i="1"/>
  <c r="AE28" i="1"/>
  <c r="Y29" i="1"/>
  <c r="AE29" i="1"/>
  <c r="Y30" i="1"/>
  <c r="AE30" i="1"/>
  <c r="Y31" i="1"/>
  <c r="AE31" i="1"/>
  <c r="Y32" i="1"/>
  <c r="AE32" i="1"/>
  <c r="Y33" i="1"/>
  <c r="AE33" i="1"/>
  <c r="Y34" i="1"/>
  <c r="AE34" i="1"/>
  <c r="Y35" i="1"/>
  <c r="AE35" i="1"/>
  <c r="Y36" i="1"/>
  <c r="AE36" i="1"/>
  <c r="Y37" i="1"/>
  <c r="AE37" i="1"/>
  <c r="Y38" i="1"/>
  <c r="AE38" i="1"/>
  <c r="Y39" i="1"/>
  <c r="AE39" i="1"/>
  <c r="Y40" i="1"/>
  <c r="AE40" i="1"/>
  <c r="Y41" i="1"/>
  <c r="AE41" i="1"/>
  <c r="Y42" i="1"/>
  <c r="AE42" i="1"/>
  <c r="Y43" i="1"/>
  <c r="AE43" i="1"/>
  <c r="Y44" i="1"/>
  <c r="AE44" i="1"/>
  <c r="Y45" i="1"/>
  <c r="AE45" i="1"/>
  <c r="Y46" i="1"/>
  <c r="AE46" i="1"/>
  <c r="Y47" i="1"/>
  <c r="AE47" i="1"/>
  <c r="Y48" i="1"/>
  <c r="AE48" i="1"/>
  <c r="Y49" i="1"/>
  <c r="AE49" i="1"/>
  <c r="Y50" i="1"/>
  <c r="AE50" i="1"/>
  <c r="Y51" i="1"/>
  <c r="AE51" i="1"/>
  <c r="Y52" i="1"/>
  <c r="AE52" i="1"/>
  <c r="Y53" i="1"/>
  <c r="AE53" i="1"/>
  <c r="Y54" i="1"/>
  <c r="AE54" i="1"/>
  <c r="Y55" i="1"/>
  <c r="AE55" i="1"/>
  <c r="Y56" i="1"/>
  <c r="AE56" i="1"/>
  <c r="Y57" i="1"/>
  <c r="AE57" i="1"/>
  <c r="Y58" i="1"/>
  <c r="AE58" i="1"/>
  <c r="Y59" i="1"/>
  <c r="AE59" i="1"/>
  <c r="Y60" i="1"/>
  <c r="AE60" i="1"/>
  <c r="Y61" i="1"/>
  <c r="AE61" i="1"/>
  <c r="Y62" i="1"/>
  <c r="AE62" i="1"/>
  <c r="Y63" i="1"/>
  <c r="AE63" i="1"/>
  <c r="Y64" i="1"/>
  <c r="AE64" i="1"/>
  <c r="Y65" i="1"/>
  <c r="AE65" i="1"/>
  <c r="Y66" i="1"/>
  <c r="AE66" i="1"/>
  <c r="Y67" i="1"/>
  <c r="AE67" i="1"/>
  <c r="Y68" i="1"/>
  <c r="AE68" i="1"/>
  <c r="Y69" i="1"/>
  <c r="AE69" i="1"/>
  <c r="AE70" i="1"/>
  <c r="Y71" i="1"/>
  <c r="AE71" i="1"/>
  <c r="Y72" i="1"/>
  <c r="AE72" i="1"/>
  <c r="Y73" i="1"/>
  <c r="AE73" i="1"/>
  <c r="Y74" i="1"/>
  <c r="AE74" i="1"/>
  <c r="Y75" i="1"/>
  <c r="AE75" i="1"/>
  <c r="Y76" i="1"/>
  <c r="AE76" i="1"/>
  <c r="Y77" i="1"/>
  <c r="AE77" i="1"/>
  <c r="Y78" i="1"/>
  <c r="AE78" i="1"/>
  <c r="Y79" i="1"/>
  <c r="AE79" i="1"/>
  <c r="Y80" i="1"/>
  <c r="AE80" i="1"/>
  <c r="Y81" i="1"/>
  <c r="AE81" i="1"/>
  <c r="AE82" i="1"/>
  <c r="AE83" i="1"/>
  <c r="Y84" i="1"/>
  <c r="AE84" i="1"/>
  <c r="Y85" i="1"/>
  <c r="AE85" i="1"/>
  <c r="Y86" i="1"/>
  <c r="AE86" i="1"/>
  <c r="Y87" i="1"/>
  <c r="AE87" i="1"/>
  <c r="Y88" i="1"/>
  <c r="AE88" i="1"/>
  <c r="Y89" i="1"/>
  <c r="AE89" i="1"/>
  <c r="Y90" i="1"/>
  <c r="AE90" i="1"/>
  <c r="Y91" i="1"/>
  <c r="AE91" i="1"/>
  <c r="Y92" i="1"/>
  <c r="AE92" i="1"/>
  <c r="Y93" i="1"/>
  <c r="AE93" i="1"/>
  <c r="Y94" i="1"/>
  <c r="AE94" i="1"/>
  <c r="Y95" i="1"/>
  <c r="AE95" i="1"/>
  <c r="Y96" i="1"/>
  <c r="AE96" i="1"/>
  <c r="Y97" i="1"/>
  <c r="AE97" i="1"/>
  <c r="Y98" i="1"/>
  <c r="AE98" i="1"/>
  <c r="Y99" i="1"/>
  <c r="AE99" i="1"/>
  <c r="Y100" i="1"/>
  <c r="AE100" i="1"/>
  <c r="Y101" i="1"/>
  <c r="AE101" i="1"/>
  <c r="Y102" i="1"/>
  <c r="AE102" i="1"/>
  <c r="Y103" i="1"/>
  <c r="AE103" i="1"/>
  <c r="Y104" i="1"/>
  <c r="AE104" i="1"/>
  <c r="Y105" i="1"/>
  <c r="AE105" i="1"/>
  <c r="Y106" i="1"/>
  <c r="AE106" i="1"/>
  <c r="Y107" i="1"/>
  <c r="AE107" i="1"/>
  <c r="Y108" i="1"/>
  <c r="AE108" i="1"/>
  <c r="Y109" i="1"/>
  <c r="AE109" i="1"/>
  <c r="Y110" i="1"/>
  <c r="AE110" i="1"/>
  <c r="Y111" i="1"/>
  <c r="AE111" i="1"/>
  <c r="Y112" i="1"/>
  <c r="AE112" i="1"/>
  <c r="Y113" i="1"/>
  <c r="AE113" i="1"/>
  <c r="Y114" i="1"/>
  <c r="AE114" i="1"/>
  <c r="Y115" i="1"/>
  <c r="AE115" i="1"/>
  <c r="Y116" i="1"/>
  <c r="AE116" i="1"/>
  <c r="Y117" i="1"/>
  <c r="AE117" i="1"/>
  <c r="Y118" i="1"/>
  <c r="AE118" i="1"/>
  <c r="Y119" i="1"/>
  <c r="AE119" i="1"/>
  <c r="Y120" i="1"/>
  <c r="AE120" i="1"/>
  <c r="Y121" i="1"/>
  <c r="AE121" i="1"/>
  <c r="Y122" i="1"/>
  <c r="AE122" i="1"/>
  <c r="Y123" i="1"/>
  <c r="AE123" i="1"/>
  <c r="Y124" i="1"/>
  <c r="AE124" i="1"/>
  <c r="Y125" i="1"/>
  <c r="AE125" i="1"/>
  <c r="Y126" i="1"/>
  <c r="AE126" i="1"/>
  <c r="Y127" i="1"/>
  <c r="AE127" i="1"/>
  <c r="Y128" i="1"/>
  <c r="AE128" i="1"/>
  <c r="Y129" i="1"/>
  <c r="AE129" i="1"/>
  <c r="Y130" i="1"/>
  <c r="AE130" i="1"/>
  <c r="Y131" i="1"/>
  <c r="AE131" i="1"/>
  <c r="Y132" i="1"/>
  <c r="AE132" i="1"/>
  <c r="Y133" i="1"/>
  <c r="AE133" i="1"/>
  <c r="Y134" i="1"/>
  <c r="AE134" i="1"/>
  <c r="Y135" i="1"/>
  <c r="AE135" i="1"/>
  <c r="Y136" i="1"/>
  <c r="AE136" i="1"/>
  <c r="Y137" i="1"/>
  <c r="AE137" i="1"/>
  <c r="Y138" i="1"/>
  <c r="AE138" i="1"/>
  <c r="Y139" i="1"/>
  <c r="AE139" i="1"/>
  <c r="Y140" i="1"/>
  <c r="AE140" i="1"/>
  <c r="Y141" i="1"/>
  <c r="AE141" i="1"/>
  <c r="Y142" i="1"/>
  <c r="AE142" i="1"/>
  <c r="Y143" i="1"/>
  <c r="AE143" i="1"/>
  <c r="Y144" i="1"/>
  <c r="AE144" i="1"/>
  <c r="Y145" i="1"/>
  <c r="AE145" i="1"/>
  <c r="Y146" i="1"/>
  <c r="AE146" i="1"/>
  <c r="Y147" i="1"/>
  <c r="AE147" i="1"/>
  <c r="Y148" i="1"/>
  <c r="AE148" i="1"/>
  <c r="Y149" i="1"/>
  <c r="AE149" i="1"/>
  <c r="Y150" i="1"/>
  <c r="AE150" i="1"/>
  <c r="Y151" i="1"/>
  <c r="AE151" i="1"/>
  <c r="Y152" i="1"/>
  <c r="AE152" i="1"/>
  <c r="Y153" i="1"/>
  <c r="AE153" i="1"/>
  <c r="Y154" i="1"/>
  <c r="AE154" i="1"/>
  <c r="Y155" i="1"/>
  <c r="AE155" i="1"/>
  <c r="Y156" i="1"/>
  <c r="AE156" i="1"/>
  <c r="Y157" i="1"/>
  <c r="AE157" i="1"/>
  <c r="Y158" i="1"/>
  <c r="AE158" i="1"/>
  <c r="Y159" i="1"/>
  <c r="AE159" i="1"/>
  <c r="Y160" i="1"/>
  <c r="AE160" i="1"/>
  <c r="AE161" i="1"/>
  <c r="Y162" i="1"/>
  <c r="AE162" i="1"/>
  <c r="Y163" i="1"/>
  <c r="AE163" i="1"/>
  <c r="Y164" i="1"/>
  <c r="AE164" i="1"/>
  <c r="Y165" i="1"/>
  <c r="AE165" i="1"/>
  <c r="Y166" i="1"/>
  <c r="AE166" i="1"/>
  <c r="Y167" i="1"/>
  <c r="AE167" i="1"/>
  <c r="Y168" i="1"/>
  <c r="AE168" i="1"/>
  <c r="Y169" i="1"/>
  <c r="AE169" i="1"/>
  <c r="Y170" i="1"/>
  <c r="AE170" i="1"/>
  <c r="Y171" i="1"/>
  <c r="AE171" i="1"/>
  <c r="Y172" i="1"/>
  <c r="AE172" i="1"/>
  <c r="Y173" i="1"/>
  <c r="AE173" i="1"/>
  <c r="Y174" i="1"/>
  <c r="AE174" i="1"/>
  <c r="Y175" i="1"/>
  <c r="AE175" i="1"/>
  <c r="Y176" i="1"/>
  <c r="AE176" i="1"/>
  <c r="Y177" i="1"/>
  <c r="AE177" i="1"/>
  <c r="Y178" i="1"/>
  <c r="AE178" i="1"/>
  <c r="Y179" i="1"/>
  <c r="AE179" i="1"/>
  <c r="Y180" i="1"/>
  <c r="AE180" i="1"/>
  <c r="Y181" i="1"/>
  <c r="AE181" i="1"/>
  <c r="Y182" i="1"/>
  <c r="AE182" i="1"/>
  <c r="Y183" i="1"/>
  <c r="AE183" i="1"/>
  <c r="Y184" i="1"/>
  <c r="AE184" i="1"/>
  <c r="Y185" i="1"/>
  <c r="AE185" i="1"/>
  <c r="Y186" i="1"/>
  <c r="AE186" i="1"/>
  <c r="Y187" i="1"/>
  <c r="AE187" i="1"/>
  <c r="Y188" i="1"/>
  <c r="AE188" i="1"/>
  <c r="Y189" i="1"/>
  <c r="AE189" i="1"/>
  <c r="Y190" i="1"/>
  <c r="AE190" i="1"/>
  <c r="Y191" i="1"/>
  <c r="AE191" i="1"/>
  <c r="Y192" i="1"/>
  <c r="AE192" i="1"/>
  <c r="Y193" i="1"/>
  <c r="AE193" i="1"/>
  <c r="Y194" i="1"/>
  <c r="AE194" i="1"/>
  <c r="Y195" i="1"/>
  <c r="AE195" i="1"/>
  <c r="Y196" i="1"/>
  <c r="AE196" i="1"/>
  <c r="Y197" i="1"/>
  <c r="AE197" i="1"/>
  <c r="Y198" i="1"/>
  <c r="AE198" i="1"/>
  <c r="Y199" i="1"/>
  <c r="AE199" i="1"/>
  <c r="Y200" i="1"/>
  <c r="AE200" i="1"/>
  <c r="Y201" i="1"/>
  <c r="AE201" i="1"/>
  <c r="Y202" i="1"/>
  <c r="AE202" i="1"/>
  <c r="Y203" i="1"/>
  <c r="AE203" i="1"/>
  <c r="Y204" i="1"/>
  <c r="AE204" i="1"/>
  <c r="Y205" i="1"/>
  <c r="AE205" i="1"/>
  <c r="Y206" i="1"/>
  <c r="AE206" i="1"/>
  <c r="Y207" i="1"/>
  <c r="AE207" i="1"/>
  <c r="Y208" i="1"/>
  <c r="AE208" i="1"/>
  <c r="Y209" i="1"/>
  <c r="AE209" i="1"/>
  <c r="Y210" i="1"/>
  <c r="AE210" i="1"/>
  <c r="Y211" i="1"/>
  <c r="AE211" i="1"/>
  <c r="Y212" i="1"/>
  <c r="AE212" i="1"/>
  <c r="Y213" i="1"/>
  <c r="AE213" i="1"/>
  <c r="Y214" i="1"/>
  <c r="AE214" i="1"/>
  <c r="Y215" i="1"/>
  <c r="AE215" i="1"/>
  <c r="Y216" i="1"/>
  <c r="AE216" i="1"/>
  <c r="Y217" i="1"/>
  <c r="AE217" i="1"/>
  <c r="Y218" i="1"/>
  <c r="AE218" i="1"/>
  <c r="Y219" i="1"/>
  <c r="AE219" i="1"/>
  <c r="AE220" i="1"/>
  <c r="Y221" i="1"/>
  <c r="AE221" i="1"/>
  <c r="Y222" i="1"/>
  <c r="AE222" i="1"/>
  <c r="Y223" i="1"/>
  <c r="AE223" i="1"/>
  <c r="Y224" i="1"/>
  <c r="AE224" i="1"/>
  <c r="Y225" i="1"/>
  <c r="AE225" i="1"/>
  <c r="Y226" i="1"/>
  <c r="AE226" i="1"/>
  <c r="Y227" i="1"/>
  <c r="AE227" i="1"/>
  <c r="Y228" i="1"/>
  <c r="AE228" i="1"/>
  <c r="Y229" i="1"/>
  <c r="AE229" i="1"/>
  <c r="Y230" i="1"/>
  <c r="AE230" i="1"/>
  <c r="Y231" i="1"/>
  <c r="AE231" i="1"/>
  <c r="Y232" i="1"/>
  <c r="AE232" i="1"/>
</calcChain>
</file>

<file path=xl/sharedStrings.xml><?xml version="1.0" encoding="utf-8"?>
<sst xmlns="http://schemas.openxmlformats.org/spreadsheetml/2006/main" count="7167" uniqueCount="4177">
  <si>
    <t>Authors</t>
  </si>
  <si>
    <t>Author Full Names</t>
  </si>
  <si>
    <t>Article Title</t>
  </si>
  <si>
    <t>Source Title</t>
  </si>
  <si>
    <t>Author Keywords</t>
  </si>
  <si>
    <t>Keywords Plus</t>
  </si>
  <si>
    <t>Abstract</t>
  </si>
  <si>
    <t>Addresses</t>
  </si>
  <si>
    <t>Affiliations</t>
  </si>
  <si>
    <t>Reprint Addresses</t>
  </si>
  <si>
    <t>Email Addresses</t>
  </si>
  <si>
    <t>Funding Orgs</t>
  </si>
  <si>
    <t>Funding Name Preferred</t>
  </si>
  <si>
    <t>Funding Text</t>
  </si>
  <si>
    <t>Times Cited, All Databases</t>
  </si>
  <si>
    <t>Publication Date</t>
  </si>
  <si>
    <t>Publication Year</t>
  </si>
  <si>
    <t>Volume</t>
  </si>
  <si>
    <t>Issue</t>
  </si>
  <si>
    <t>Start Page</t>
  </si>
  <si>
    <t>End Page</t>
  </si>
  <si>
    <t>Article Number</t>
  </si>
  <si>
    <t>DOI</t>
  </si>
  <si>
    <t>DOI Link</t>
  </si>
  <si>
    <t>Early Access Date</t>
  </si>
  <si>
    <t>WoS Categories</t>
  </si>
  <si>
    <t>Research Areas</t>
  </si>
  <si>
    <t>Date of Export</t>
  </si>
  <si>
    <t>UT (Unique WOS ID)</t>
  </si>
  <si>
    <t>Web of Science Record</t>
  </si>
  <si>
    <t>Locatelli, I; Benecchia, F; Ubaldi, PG; Pianezzola, A; Santi, E; Grassi, S</t>
  </si>
  <si>
    <t/>
  </si>
  <si>
    <t>Locatelli, Irene; Benecchia, Fabio; Ubaldi, Paolo Giuseppe; Pianezzola, Alberto; Santi, Elena; Grassi, Silvia</t>
  </si>
  <si>
    <t>Feasibility of a portable NIR-based PAT approach for discriminating fresh and thawed octopus along the supply chain</t>
  </si>
  <si>
    <t>FOOD CONTROL</t>
  </si>
  <si>
    <t>Near-infrared spectroscopy; Octopus authenticity; Fresh vs thawed discrimination; Process analytical technology</t>
  </si>
  <si>
    <t>SPECTROSCOPY</t>
  </si>
  <si>
    <t>The distinction between fresh and thawed octopus is a critical issue in seafood quality control, due to the high commercial value of fresh products and the risk of fraudulent practices. Although other techniques, such as histological analysis, have been evaluated as a routine screening technique, their destructive nature makes them unsuitable for routine on-site inspections along the supply chain. Near-infrared (NIR) spectroscopy combined with chemometrics represents a promising non-destructive alternative; however, industrial variability and process-oriented implementation must be considered. In this study, the performance of a portable MicroNIR system was evaluated for the discrimination of fresh and thawed Octopus vulgaris under realistic supply chain conditions. The dataset was designed to reflect industrial variability, including different suppliers, fishing areas, fishing methods, and thawing procedures. The Partial Least Squares Discriminant Analysis (PLS-DA) models achieved classification rates of approximately 85% in calibration and cross-validation, while external prediction performance decreased to approximately 75%, particularly for thawed samples. To translate the model results into an operational quality control strategy, a Process Analytical Technology (PAT)-oriented decision logic was developed based on the mean and variability of replicate predictions. An acceptance zone was defined for fresh samples, ensuring that no thawed sample was incorrectly accepted as fresh in the external test set. These results demonstrate the feasibility of integrating portable NIR spectroscopy into a risk-based and online PAT framework for octopus authenticity assessment, prioritizing fraud prevention and robust decision-making.</t>
  </si>
  <si>
    <t>[Locatelli, Irene; Grassi, Silvia] Univ Milan, Dept Food Environm &amp; Nutr Sci, Via Celoria 2, I-20133 Milan, Italy; [Benecchia, Fabio; Ubaldi, Paolo Giuseppe; Pianezzola, Alberto; Santi, Elena] Esselunga SpA, Str Prov Recetto 580, I-28061 Biandrate, Novara, Italy</t>
  </si>
  <si>
    <t>University of Milan</t>
  </si>
  <si>
    <t>Grassi, S (corresponding author), Univ Milan, Dept Food Environm &amp; Nutr Sci, Via Celoria 2, I-20133 Milan, Italy.</t>
  </si>
  <si>
    <t>silvia.grassi@unimi.it</t>
  </si>
  <si>
    <t>ESSELUNGA S.p.A.</t>
  </si>
  <si>
    <t>This research was funded by ESSELUNGA S.p.A.</t>
  </si>
  <si>
    <t>JAN</t>
  </si>
  <si>
    <t>10.1016/j.foodcont.2026.112477</t>
  </si>
  <si>
    <t>Food Science &amp; Technology</t>
  </si>
  <si>
    <t>2026-08-11</t>
  </si>
  <si>
    <t>WOS:001830241900001</t>
  </si>
  <si>
    <t>Varrà, MO; Ferrari, F; Husáková, L; Piroutková, M; Ianieri, A; Zanardi, E</t>
  </si>
  <si>
    <t>Varra, Maria Olga; Ferrari, Federico; Husakova, Lenka; Piroutkova, Martina; Ianieri, Adriana; Zanardi, Emanuela</t>
  </si>
  <si>
    <t>Ranking food safety risks related to methylmercury and total mercury in fishery products: a comprehensive quantitative analysis of contamination and human exposure levels</t>
  </si>
  <si>
    <t>Mercury contamination; Seafood safety; Exposure assessment; Risk characterization; Monte Carlo simulations</t>
  </si>
  <si>
    <t>MEDITERRANEAN SEA; BIOACCESSIBILITY; SPECIATION; HG; CONSUMPTION; CEPHALOPODS; SEDIMENTS; SELENIUM; COOKING; SEAFOOD</t>
  </si>
  <si>
    <t>This study quantified methylmercury (MeHg) and total mercury (THg) in 591 fishery products (common octopus, musky octopus, common cuttlefish, common squid, European flying squid, tuna, salt-ripened anchovy, and smoked salmon) originating from various geographical areas (Mediterranean Sea, Atlantic Ocean, Indian Ocean, and Pacific Ocean). An optimized analytical protocol based on direct mercury analysis was employed to determine MeHg and THg concentrations, which were subsequently used to estimate dietary exposure for the Italian population and to characterize the associated health risks across different age groups using probabilistic methods. Common octopus, musky octopus, and tuna, especially of Mediterranean origin, exhibited the highest contamination levels. All cephalopods species showed markedly elevated MeHg/THg ratios (&gt;70%), comparable to those observed in tuna, whereas, while the two processed fishery products displayed significantly lower values. Cephalopods also accounted for most exceedances of the European regulatory limits for THg, with rates of 10 % in common octopus, 17 % in flying squid, and 39 % in musky octopus. Dietary exposure estimates indicated that younger consumers face the highest MeHg and THg intakes and are above safe limits even at average consumption levels. While common cuttlefish, common squid, European flying squid, salt-ripened anchovy, and smoked salmon were identified as low-risk products, octopus emerged as a major and previously underrecognized source of MeHg. Its consumption was indeed associated with over a 70 % probability of surpassing toxicological thresholds in toddlers and children. Seafood-related mercury exposure remains a persistent publichealth concern, and the contribution of underestimated fishery species warrants reconsideration.</t>
  </si>
  <si>
    <t>[Varra, Maria Olga; Ferrari, Federico; Ianieri, Adriana; Zanardi, Emanuela] Univ Parma, Dept Food &amp; Drug, Str Taglio 10, I-43126 Parma, Italy; [Husakova, Lenka; Piroutkova, Martina] Univ Pardubice, Fac Chem Technol, Dept Analyt Chem, Studentska 573 HB-D, CZ-53210 Pardubice, Czech Republic</t>
  </si>
  <si>
    <t>University of Parma; University of Pardubice</t>
  </si>
  <si>
    <t>Zanardi, E (corresponding author), Univ Parma, Dept Food &amp; Drug, Str Taglio 10, I-43126 Parma, Italy.;Husáková, L (corresponding author), Univ Pardubice, Fac Chem Technol, Dept Analyt Chem, Studentska 573 HB-D, CZ-53210 Pardubice, Czech Republic.</t>
  </si>
  <si>
    <t>lenka.husakova@upce.cz; emanuela.zanardi@unipr.it</t>
  </si>
  <si>
    <t>University of Pardubice [SGS_2026_001]; Italian Ministry of University and Research (MUR) through the Dipartimenti di Eccellenza 2023-2027 program</t>
  </si>
  <si>
    <t>University of Pardubice; Italian Ministry of University and Research (MUR) through the Dipartimenti di Eccellenza 2023-2027 program(Ministry of Education, Universities and Research (MIUR))</t>
  </si>
  <si>
    <t>The authors acknowledge financial support from the University of Pardubice (project no. SGS_2026_001) . This research was undertaken within the framework of the ALIFAR project, supported by the Italian Ministry of University and Research (MUR) through the Dipartimenti di Eccellenza 2023-2027 program.</t>
  </si>
  <si>
    <t>NOV</t>
  </si>
  <si>
    <t>10.1016/j.foodcont.2026.112322</t>
  </si>
  <si>
    <t>WOS:001792194400001</t>
  </si>
  <si>
    <t>Pieroni, EM; Dillon, J; O'Connor, V; Holden-Dye, L; Imperadore, P; Fiorito, G; Yañez-Guerra, LA</t>
  </si>
  <si>
    <t>Pieroni, Eleonora Maria; Dillon, James; O'Connor, Vincent; Holden-Dye, Lindy; Imperadore, Pamela; Fiorito, Graziano; Yanez-Guerra, Luis Alfonso</t>
  </si>
  <si>
    <t>In silico identification and deorphanisation of an allatostatin C GPCR system in the cephalopod Octopus vulgaris reveal two receptors with distinct potency</t>
  </si>
  <si>
    <t>NEUROPEPTIDES</t>
  </si>
  <si>
    <t>Neuropeptides; Calcium assay; Evolution; Deorphanisation</t>
  </si>
  <si>
    <t>PROTEIN-COUPLED RECEPTORS; FUNCTIONAL-CHARACTERIZATION; MOLECULAR EVOLUTION; IMMUNE-SYSTEM; SOMATOSTATIN; PEPTIDE; GENE; TOOL; HIT</t>
  </si>
  <si>
    <t>The investigation of the functional roles of peptide signalling represents an important route to understanding evolution of specific physiological traits and behaviours in metazoans. Allatostatins and their cognate receptors are classically defined as invertebrate neuropeptide hormones. Accumulating evidence recognises allatostatin C as a conserved signalling molecule across all invertebrate lineages, with reported functions spanning from regulation of feeding and digestion to immune responses and modulation of core nociception. Their orthologues across phyla imply biological functions of wider evolutionary significance. In particular, the presumed relationship with the somatostatin/opioid signalling receptors, modulating pain in mammals, warrants consideration. Here we combined in silico and experimental approaches to describe the molecular determinants of the allatostatin C signalling in the cephalopod Octopus vulgaris. This organism has been pivotal in understanding complex neurobiology due to the evolution of a large centralised nervous system. Our investigation resolved a single prepropeptide encompassing allatostatin C peptide (OvAstC) and two distinct allatostatin C receptors (OvAstCR1 and OvAstCR2). The single predicted mature peptide (AVITACYFQAVSCY) was shown to differentially activate the two identified cognate receptors. PCR analysis carried out in O. vulgaris tissues showed a broad distribution of OvAstC and OvAstCRs. This wide expression, while including nervous tissues, clearly extends to the immune and digestive systems. This distribution is consistent with a pleiotropic role of this peptidergic system. The neuro-sensory expression and the reinforced opioid/somatostatin-related phylogenetic placement of OvAstC/OvAstCRs, encourage further physiological investigation of the neuromodulatory control of sensory processing, including nociception in cephalopods.</t>
  </si>
  <si>
    <t>[Pieroni, Eleonora Maria; Dillon, James; O'Connor, Vincent; Holden-Dye, Lindy; Yanez-Guerra, Luis Alfonso] Univ Southampton, Sch Biol Sci, Southampton SO17 1BJ, England; [Pieroni, Eleonora Maria] Assoc Cephalopod Res CephRes ETS, Naples, Italy; [Imperadore, Pamela; Fiorito, Graziano] Stn Zool Anton Dohrn, Dept Biol &amp; Evolut Marine Organisms, Naples, Italy</t>
  </si>
  <si>
    <t>University of Southampton; Stazione Zoologica Anton Dohrn</t>
  </si>
  <si>
    <t>Yañez-Guerra, LA (corresponding author), Univ Southampton, Sch Biol Sci, Southampton SO17 1BJ, England.</t>
  </si>
  <si>
    <t>l.a.yanez-guerra@soton.ac.uk</t>
  </si>
  <si>
    <t>HSA-Ceph [1/2019]; Gerald Kerkut Charitable Trust, UK</t>
  </si>
  <si>
    <t>HSA-Ceph; Gerald Kerkut Charitable Trust, UK</t>
  </si>
  <si>
    <t>This work was supported by the HSA-Ceph 1/2019 grant to the As-sociation for Cephalopod Research 'CephRes' ETS, Napoli, Italy, and The Gerald Kerkut Charitable Trust, UK.</t>
  </si>
  <si>
    <t>AUG</t>
  </si>
  <si>
    <t>10.1016/j.npep.2026.102631</t>
  </si>
  <si>
    <t>Endocrinology &amp; Metabolism; Neurosciences</t>
  </si>
  <si>
    <t>Endocrinology &amp; Metabolism; Neurosciences &amp; Neurology</t>
  </si>
  <si>
    <t>WOS:001788546000001</t>
  </si>
  <si>
    <t>JUL 2026</t>
  </si>
  <si>
    <t>Kim, HJ; Park, JJ; Lee, CM; Lee, JS</t>
  </si>
  <si>
    <t>Kim, Hyeon Jin; Park, Jung Jun; Lee, Chang-Moon; Lee, Jung Sick</t>
  </si>
  <si>
    <t>Dynamics of sperm transport and histological structure of the female reproductive system in Octopus vulgaris (Cephalopoda: Octopodidae)</t>
  </si>
  <si>
    <t>PLOS ONE</t>
  </si>
  <si>
    <t>GONADAL DEVELOPMENT; STORAGE; FECUNDITY; MATURITY; WATERS</t>
  </si>
  <si>
    <t>In this study, we aimed to provide a detailed microanatomical description of the female reproductive system of Octopus vulgaris, an internally fertilized cephalopod, and to identify its functional characteristics. The female reproductive system of O. vulgaris consists of the ovary, common oviduct, proximal oviduct, oviducal gland, and distal oviduct, and histologically, the structure is similar to that reported in other octopods. The presence of spermatozoa and spermatophore remnants in the distal oviduct suggests that spermatophoric reaction may occur in this region. The released sperm then migrate to the spermathecae of the oviducal gland, where they are anchored to the epithelial layer via a helical acrosome and stored long-term with the support of secretory cells. During the spent and degenerative stages, sperm detach from the epithelial layer of the spermathecae in the oviducal gland and are released into the central cavity of the oviducal gland, where fertilization is presumed to occur. The fertilized eggs are then coated with secretory substances from the central and peripheral glands and subsequently pass through the acidic distal oviduct before being released. These findings demonstrate that the female reproductive system of O. vulgaris exhibits structural differentiation necessary for spermatophoric reaction, sperm storage, and fertilization. This study provides fundamental insights into the reproductive process of internally fertilized cephalopods and serves as a valuable reference for future research on cephalopod reproductive physiology.</t>
  </si>
  <si>
    <t>[Kim, Hyeon Jin; Lee, Jung Sick] Chonnam Natl Univ, Dept Aqualife Med, Yeosu, South Korea; [Kim, Hyeon Jin; Lee, Chang-Moon] Chonnam Natl Univ, Reg Leading Res Ctr, Yeosu, South Korea; [Park, Jung Jun] Natl Inst Fisheries Sci, Aquaculture Res Div, Pusan, South Korea; [Lee, Chang-Moon] Chonnam Natl Univ, Sch Healthcare &amp; Biomed Engn, Yeosu, South Korea</t>
  </si>
  <si>
    <t>Chonnam National University; Chonnam National University; National Institute of Fisheries Science; Chonnam National University</t>
  </si>
  <si>
    <t>Lee, JS (corresponding author), Chonnam Natl Univ, Dept Aqualife Med, Yeosu, South Korea.</t>
  </si>
  <si>
    <t>ljs@jnu.ac.kr</t>
  </si>
  <si>
    <t>National Institute of Fisheries Science [R2026048]; National Research Foundation of Korea (NRF) - Korea goverment (MSIT) [RS-2023-00217471]</t>
  </si>
  <si>
    <t>National Institute of Fisheries Science; National Research Foundation of Korea (NRF) - Korea goverment (MSIT)(National Research Foundation of Korea)</t>
  </si>
  <si>
    <t>This work was supported by a grant from the National Institute of Fisheries Science (R2026048) of South Korea. This work was supported by the National Research Foundation of Korea (NRF) grant funded by the Korea goverment (MSIT) (No RS-2023-00217471).</t>
  </si>
  <si>
    <t>JUL 6</t>
  </si>
  <si>
    <t>e0352331</t>
  </si>
  <si>
    <t>10.1371/journal.pone.0352331</t>
  </si>
  <si>
    <t>Multidisciplinary Sciences</t>
  </si>
  <si>
    <t>Science &amp; Technology - Other Topics</t>
  </si>
  <si>
    <t>WOS:001813216600024</t>
  </si>
  <si>
    <t>Oesterwind, D; Power, AM; Abad, E; Certain, G; Fotiadis, N; Golikov, A; González, AF; Laptikhovsky, V; Monteiro, SS; Montero-Castaño, C; Moreno, A; Moustahfid, H; Pierce, GJ; Robin, JP; Seixas, S; Sobrino, I; Valeiras, J; Villanueva, R; Matos, FL</t>
  </si>
  <si>
    <t>Oesterwind, Daniel; Power, Anne Marie; Abad, Esther; Certain, Gregoire; Fotiadis, Nikolaos; Golikov, Alexey; Gonzalez, Angel F.; Laptikhovsky, Vladimir; Monteiro, Silvia S.; Montero-Castano, Carlos; Moreno, Ana; Moustahfid, Hassan; Pierce, Graham J.; Robin, Jean-Paul; Seixas, Sonia; Sobrino, Ignacio; Valeiras, Julio; Villanueva, Roger; Matos, Fabio L.</t>
  </si>
  <si>
    <t>Oceanographic parameters associated with spatial occurrence of cephalopods in standardized demersal fishing trawls in the NE Atlantic</t>
  </si>
  <si>
    <t>MARINE BIOLOGY</t>
  </si>
  <si>
    <t>Distribution; Physiological tolerances; Continental shelf; Temperature; Salinity; Depth</t>
  </si>
  <si>
    <t>OCTOPUS-VULGARIS CUVIER; ELEDONE-CIRRHOSA LAMARCK; SQUID LOLIGO-VULGARIS; CLIMATE-CHANGE; ALLOTEUTHIS-SUBULATA; NORTHEAST ATLANTIC; SCOTTISH WATERS; COMMON OCTOPUS; BODY-WEIGHT; POPULATION</t>
  </si>
  <si>
    <t>In this work, the environmental occurrence ranges of different European cephalopod species are described for the whole NE Atlantic shelf including the greater North Sea and Baltic Sea. This is done based on the environmental parameters collected in-situ during surveys that caught commercially important cephalopod species (1990-2022). Results are supplemented and compared with information available in the published literature and are discussed in relation to available habitat across the range, survey design, etc., and, in particular, which species are most likely to be affected by climate change. Our analyses illustrate that Loligo forbesii occupies a broader depth range than Loligo vulgaris and Alloteuthis spp. Because L. forbesii occurs further offshore and at greater depths, this species is likely more resilient to warming than the other loliginids in our study. Octopus vulgaris is documented in areas close to the coast with a more southerly distribution, whereas Eledone cirrhosa occurs further north and further away from the coast. Eledone cirrhosa occurs at lower temperatures and has a much broader depth range, which may provide resilience against warming. By contrast, both ommastrephid squid species (Illex coindetii and Todaropsis eblanae) showed a very similar tolerance to the three environmental variables (salinity, temperature, depth). This information should contribute to future species distribution modelling by allowing validation of realistic results against each species' range, habitat requirements, and environmental ranges, while appreciating the data limitations caused by the timing and gear used in the survey cruises that supply occurrence and density data.</t>
  </si>
  <si>
    <t>[Oesterwind, Daniel] Thunen Inst Balt Sea Fisheries, Rostock, Germany; [Power, Anne Marie] Univ Galway, Ryan Inst, Sch Nat Sci, Galway, Ireland; [Abad, Esther] CSIC, Ctr Oceanog Vigo, Inst Espanol Oceanog IEO, Vigo, Spain; [Certain, Gregoire] Ifremer LHM, UMR MARBEC, Sete, France; [Fotiadis, Nikolaos] Hellenic Ctr Marine Res, Inst Marine Biol Resources &amp; Inland Waters, Anavyssos, Attica, Greece; [Golikov, Alexey] German Ctr Marine Biodivers Res DZMB, Senckenberg Meer, Inst Anim Cell &amp; Syst Biol IZS, Hamburg, Germany; [Golikov, Alexey] Univ Hamburg, Inst Marine Ecosyst &amp; Fishery Sci, Hamburg, Germany; [Gonzalez, Angel F.; Pierce, Graham J.] CSIC, Inst Invest Marinas, Vigo, Spain; [Laptikhovsky, Vladimir] Ctr Environm Fisheries &amp; Aquaculture Sci, Lowestoft, England; [Monteiro, Silvia S.; Pierce, Graham J.; Matos, Fabio L.] Univ Aveiro, Ctr Environm &amp; Marine Studies CESAM, Aveiro, Portugal; [Monteiro, Silvia S.; Pierce, Graham J.] Univ Aveiro, Dept Biol, Aveiro, Portugal; [Monteiro, Silvia S.; Pierce, Graham J.] Univ Aveiro, ECOMARE, CPRAM, Aveiro, Portugal; [Montero-Castano, Carlos] Marine Stewardship Council, London, England; [Moreno, Ana] Portuguese Inst Sea &amp; Atmosphere IPMA, Lisbon, Portugal; [Moustahfid, Hassan] US Natl Ocean &amp; Atmospher Adm, Integrated Ocean Observing Syst, Silver Spring, MA USA; [Pierce, Graham J.] Univ Aberdeen, Sch Biol Sci, Aberdeen, Scotland; [Robin, Jean-Paul] Univ Caen Normandy, MERSEA Lab, Caen, France; [Seixas, Sonia] Univ Aberta, Lisbon, Portugal; [Seixas, Sonia] Univ Coimbra, MARE Marine &amp; Environm Sci Ctr, ARNET Aquat Res Network, Coimbra, Portugal; [Sobrino, Ignacio] Inst Espanol Oceanog, Cadiz, Spain; [Valeiras, Julio] Spanish Inst Oceanog, Madrid, Spain; [Villanueva, Roger] CSIC, Inst Ciencies Mar ICM, Barcelona, Spain; [Matos, Fabio L.] Univ Aveiro, Dept Biol, Aveiro, Portugal</t>
  </si>
  <si>
    <t>Johann Heinrich von Thunen Institute; Ollscoil na Gaillimhe-University of Galway; Consejo Superior de Investigaciones Cientificas (CSIC); Spanish Institute of Oceanography; Ifremer; Universite de Montpellier; University of Hamburg; Consejo Superior de Investigaciones Cientificas (CSIC); CSIC - Instituto de Investigaciones Marinas (IIM); Centre for Environment Fisheries &amp; Aquaculture Science; Universidade de Aveiro; Universidade de Aveiro; Universidade de Aveiro; Instituto Portugues do Mar e da Atmosfera; University of Aberdeen; Universite de Caen Normandie; Universidade de Coimbra; Spanish Institute of Oceanography; Spanish Institute of Oceanography; CSIC - Centro Mediterraneo de Investigaciones Marinas y Ambientales (CMIMA); Consejo Superior de Investigaciones Cientificas (CSIC); CSIC - Instituto de Ciencias del Mar (ICM); Universidade de Aveiro</t>
  </si>
  <si>
    <t>Oesterwind, D (corresponding author), Thunen Inst Balt Sea Fisheries, Rostock, Germany.</t>
  </si>
  <si>
    <t>daniel.oesterwind@thuenen.de</t>
  </si>
  <si>
    <t>Johann Heinrich von Thnen-Institut, Bundesforschungsinstitut fr Lndliche Rume, Wald und Fischerei (4249)</t>
  </si>
  <si>
    <t>Open Access funding enabled and organized by Projekt DEAL.</t>
  </si>
  <si>
    <t>JUL 3</t>
  </si>
  <si>
    <t>10.1007/s00227-026-04892-9</t>
  </si>
  <si>
    <t>Marine &amp; Freshwater Biology</t>
  </si>
  <si>
    <t>WOS:001811798000001</t>
  </si>
  <si>
    <t>Kim, KR; Kim, HJ; Park, SJ; Bang, IC</t>
  </si>
  <si>
    <t>Kim, Kang-Rae; Kim, Hye-Jin; Park, Su Jin; Bang, In-Chul</t>
  </si>
  <si>
    <t>A Multiplex PCR-Based Assay for Authentication of Six Commercially Important Cephalopod Species</t>
  </si>
  <si>
    <t>FOODS</t>
  </si>
  <si>
    <t>cephalopod; multiplex PCR; COI; species identification</t>
  </si>
  <si>
    <t>DNA-BASED TECHNIQUES; PRODUCTS</t>
  </si>
  <si>
    <t>Cephalopod products are widely distributed as frozen raw materials or cut portions, making morphology-based species identification difficult during commercial handling and inspection. In this study, we developed a conventional multiplex PCR assay for the simultaneous identification of six commercially important cephalopod species, Octopus vulgaris, O. ocellatus, O. minor, Enteroctopus dofleini, Dosidicus gigas, and Todarodes pacificus. Species-specific forward primers and a shared reverse primer were designed from the mitochondrial cytochrome c oxidase subunit I (COI) region to generate distinct diagnostic amplicons within a single reaction. The assay successfully produced species-resolved bands of 459, 365, 248, 194, 141, and 82 bp for O. vulgaris, E. dofleini, O. ocellatus, O. minor, D. gigas, and T. pacificus, respectively, with no ambiguous overlap among diagnostic fragments. Clear and reproducible amplification was obtained at annealing temperatures of 51-54 degrees C, with 52 degrees C selected as the standard condition, indicating useful operational tolerance for routine application. The assay also retained consistent diagnostic performance down to 1 ng of template DNA per reaction. These results demonstrate that the developed multiplex PCR assay provides a simple, rapid, and gel-based method for the preliminary identification of selected cephalopod species in frozen commercial materials and may be useful for seafood inspection and market surveillance.</t>
  </si>
  <si>
    <t>[Kim, Kang-Rae; Park, Su Jin] Southeast Sea Fisheries Res Inst, Natl Inst Fisheries Sci, Namhae 52440, South Korea; [Kim, Hye-Jin; Bang, In-Chul] Soonchunhyang Univ, Dept Life Sci, Asan 31538, South Korea</t>
  </si>
  <si>
    <t>Soonchunhyang University</t>
  </si>
  <si>
    <t>Bang, IC (corresponding author), Soonchunhyang Univ, Dept Life Sci, Asan 31538, South Korea.</t>
  </si>
  <si>
    <t>krkim89@korea.kr; n_shiho@naver.com; ssujin@korea.kr; incbang@sch.ac.kr</t>
  </si>
  <si>
    <t>National Institute of Fisheries Science, Ministry of Oceans and Fisheries, Republic of Korea [R2026025]; Soonchunhyang University; Ministry of Oceans and Fisheries [20200425-03]</t>
  </si>
  <si>
    <t>National Institute of Fisheries Science, Ministry of Oceans and Fisheries, Republic of Korea; Soonchunhyang University(Soonchunhyang University Research Fund); Ministry of Oceans and Fisheries</t>
  </si>
  <si>
    <t>This research was supported by the project Development of Discrimination Method and Onsite Kit for Geographical Origin of Fishery Product funded by the Ministry of Oceans and Fisheries, Republic of Korea (20200425-03), and by research funding from Soonchunhyang University and the National Institute of Fisheries Science, Ministry of Oceans and Fisheries, Republic of Korea (R2026025).</t>
  </si>
  <si>
    <t>JUN 11</t>
  </si>
  <si>
    <t>10.3390/foods15122098</t>
  </si>
  <si>
    <t>JUN 2026</t>
  </si>
  <si>
    <t>WOS:001803539200001</t>
  </si>
  <si>
    <t>Leitao, P; Castro, M; Campos, A</t>
  </si>
  <si>
    <t>Leitao, Pedro; Castro, Margarida; Campos, Aida</t>
  </si>
  <si>
    <t>Identification of métiers in a multi-gear, multi-species fishery</t>
  </si>
  <si>
    <t>GILL-NET SELECTIVITY; APHANOPUS-CARBO LOWE; PORTUGAL</t>
  </si>
  <si>
    <t>Accurate, gear-specific data is essential for fisheries management to quantify fishing pressure and ecosystem impacts, particularly in multi-gear fleets. In this study, we used electronic logbooks and sales notes from 2014 to 2023 to analyze the Portuguese multi-gear coastal fleet, obtaining information at a haul level. The objective was to identify and validate m &amp; eacute;tiers down to level 6 according to the European Commission's definition (a combination of gear specifications, target species, fishing area, and season). This fleet comprises approximately 500 vessels using various types of traps, nets, and longlines to catch around 200 species of fish and invertebrates. We identified 28 m &amp; eacute;tiers across six main gear types. The most representative m &amp; eacute;tier is the octopus (Octopus vulgaris) trap fishery, followed by the European hake (Merluccius merluccius) gillnet and the black scabbardfish (Aphanopus carbo) longline fisheries. A strong association was found between most m &amp; eacute;tiers and variables such as fishing season, fishing area, depth, and sediment type. Traps and nets were mostly used in the northwest area, in mixed sediments or sand, whereas longlines were mostly operated in the central west area, in steeper slopes on sandy and rocky bottoms. The study highlights the complexity of quantifying gear-specific fishing effort in multi-gear fisheries, where technical interactions occur, and competitive relationships exist between different fishing fleets and gears that exploit the same fish stocks.</t>
  </si>
  <si>
    <t>[Leitao, Pedro; Castro, Margarida; Campos, Aida] Univ Algarve, Ctr Ciencias Mar Algarve, CCMAR CIMAR LA, Campus Gambelas, Faro, Portugal; [Leitao, Pedro; Campos, Aida] Inst Portugues Mar &amp; Atmosfera, IPMA, Rua Alfredo Magalhaes Ramalho 6, Alges, Portugal</t>
  </si>
  <si>
    <t>Universidade do Algarve; Instituto Portugues do Mar e da Atmosfera</t>
  </si>
  <si>
    <t>Leitao, P (corresponding author), Univ Algarve, Ctr Ciencias Mar Algarve, CCMAR CIMAR LA, Campus Gambelas, Faro, Portugal.;Leitao, P (corresponding author), Inst Portugues Mar &amp; Atmosfera, IPMA, Rua Alfredo Magalhaes Ramalho 6, Alges, Portugal.</t>
  </si>
  <si>
    <t>pedro.leitao@ipma.pt</t>
  </si>
  <si>
    <t>Fundasect;poundo para a Ciordf;ncia e a Tecnologia [2022.11214.BDANA]</t>
  </si>
  <si>
    <t>Fundasect;poundo para a Ciordf;ncia e a Tecnologia</t>
  </si>
  <si>
    <t>This study received Portuguese national funds from FCT - Foundation for Science and Technology through projects UIDB/04326/2020 (https://doi.org/10.54499/UIDB/04326/2020), UIDP/04326/2020 (https://doi.org/10.54499/UIDP/04326/2020) and LA/P/0101/2020 (https://doi.org/10.54499/LA/P/0101/2020), P. Leit &amp; atilde;o was the recipient of a PhD scholarship 2022.11214.BDANA. The funders had no role in study design, data collection and analysis, decision to publish, or preparation of the manuscript.</t>
  </si>
  <si>
    <t>JUN 2</t>
  </si>
  <si>
    <t>e0348392</t>
  </si>
  <si>
    <t>10.1371/journal.pone.0348392</t>
  </si>
  <si>
    <t>WOS:001783150300020</t>
  </si>
  <si>
    <t>Bonar, M; Elliott, TA; Ahmadi, MAM; Cottenie, K; Linquist, S</t>
  </si>
  <si>
    <t>Bonar, Maegwin; Elliott, Tyler A.; Ahmadi, Mirza A. M.; Cottenie, Karl; Linquist, Stefan</t>
  </si>
  <si>
    <t>Biological Implications of a Detailed Repeat Annotation in Octopus vulgaris</t>
  </si>
  <si>
    <t>GENOME BIOLOGY AND EVOLUTION</t>
  </si>
  <si>
    <t>octopus; transposable elements; repeat detection</t>
  </si>
  <si>
    <t>ELEMENTS; PROGRAM; FINDER; GENOME; TOOL</t>
  </si>
  <si>
    <t>Octopuses are phenotypically distinctive organisms, and recent genomic work raises questions about the contributions of transposable elements (TEs) to their genomic architecture. We leveraged a robust repeat annotation pipeline, in combination with manual and automated curatorial techniques, to produce a more comprehensive repeat annotation of Octopus vulgaris. This revealed that similar to 66% of the genome are repeats, in contrast to previous estimates of 43% to 50% in closely related octopus species. Whereas previous studies of TE expansion in Octopus bimaculoides identified two bursts of activity, 25 and 56 MYA, our re-annotation revealed four such expansions at 18, 25, 33, and 56 MYA. We further identified a landscape of TE hot- and cold spots. This refined TE timescape and landscape will serve as a useful basis for understanding TE contributions to O. vulgaris evolution, also for identifying factors contributing to variation in the TE community across genomic space and evolutionary time.</t>
  </si>
  <si>
    <t>[Bonar, Maegwin; Elliott, Tyler A.; Linquist, Stefan] Univ Guelph, Dept Philosophy, Guelph, ON, Canada; [Bonar, Maegwin; Elliott, Tyler A.; Ahmadi, Mirza A. M.; Cottenie, Karl] Univ Guelph, Dept Integrat Biol, Guelph, ON, Canada; [Ahmadi, Mirza A. M.] Univ Guelph, Sch Comp Sci, Guelph, ON, Canada</t>
  </si>
  <si>
    <t>University of Guelph; University of Guelph; University of Guelph</t>
  </si>
  <si>
    <t>Elliott, TA (corresponding author), Univ Guelph, Dept Philosophy, Guelph, ON, Canada.;Elliott, TA (corresponding author), Univ Guelph, Dept Integrat Biol, Guelph, ON, Canada.</t>
  </si>
  <si>
    <t>telliott@uoguelph.ca</t>
  </si>
  <si>
    <t>John Templeton Foundation</t>
  </si>
  <si>
    <t>John Templeton Foundation(John Templeton Foundation)</t>
  </si>
  <si>
    <t>This publication was made possible through the support of Grant 63456 from the John Templeton Foundation. The opinions expressed in this publication are those of the authors and do not necessarily reflect the views of the John Templeton Foundation.</t>
  </si>
  <si>
    <t>JUN</t>
  </si>
  <si>
    <t>evag137</t>
  </si>
  <si>
    <t>10.1093/gbe/evag137</t>
  </si>
  <si>
    <t>Evolutionary Biology; Genetics &amp; Heredity</t>
  </si>
  <si>
    <t>WOS:001797439500001</t>
  </si>
  <si>
    <t>Monnissen, J; De Block, A</t>
  </si>
  <si>
    <t>Monnissen, Jill; De Block, Andreas</t>
  </si>
  <si>
    <t>Exploring ethical reasoning and welfare perceptions of Octopus vulgaris paralarvae among scientific and non-scientific communities</t>
  </si>
  <si>
    <t>LABORATORY ANIMALS</t>
  </si>
  <si>
    <t>Octopus vulgaris paralarvae; cephalopod welfare; ethical reasoning; scientific and public perceptions; refinement (3Rs)</t>
  </si>
  <si>
    <t>[Monnissen, Jill; De Block, Andreas] Catholic Univ Leuven KUL, Inst Philosophy, Kardinaal Mercierpl 2, B-3000 Leuven, Belgium</t>
  </si>
  <si>
    <t>Monnissen, J (corresponding author), Catholic Univ Leuven KUL, Inst Philosophy, Kardinaal Mercierpl 2, B-3000 Leuven, Belgium.</t>
  </si>
  <si>
    <t>jill.monnissen@gmail.com</t>
  </si>
  <si>
    <t>10.1177/00236772261441121</t>
  </si>
  <si>
    <t>MAY 2026</t>
  </si>
  <si>
    <t>Veterinary Sciences; Zoology</t>
  </si>
  <si>
    <t>WOS:001776366400001</t>
  </si>
  <si>
    <t>Granja, L; Santamaría, JC; Pintado, J; Gestal, C; Del Olmo, G</t>
  </si>
  <si>
    <t>Granja, Luana; Santamaria, Jorge Carlos; Pintado, Jose; Gestal, Camino; Del Olmo, Gonzalo</t>
  </si>
  <si>
    <t>Charting a Sustainable Course: Phaeobacter Inoculation as a Probiotic-Based Strategy for Common Octopus Aquaculture During Early Life Stages</t>
  </si>
  <si>
    <t>MICROORGANISMS</t>
  </si>
  <si>
    <t>Octopus vulgaris; probiotics; Vibrio infections; Tenacibaculum maritimum; host-microbe interactions; biological control</t>
  </si>
  <si>
    <t>ACCESSORY NIDAMENTAL GLANDS; VIBRIO-ANGUILLARUM; TROPODITHIETIC ACID; PHYLOGENETIC CHARACTERIZATION; EPIBIOTIC BACTERIA; ROSEOBACTER CLADE; PATHOGENIC VIBRIO; VULGARIS CUVIER; ARTEMIA; CEPHALOPODA</t>
  </si>
  <si>
    <t>The aquaculture of Octopus vulgaris faces high larval mortality, mainly due to nutritional limitations and susceptibility to pathogens, particularly Vibrio spp. As vaccination is not feasible in cephalopods, host-associated probiotics represent a promising and sustainable alternative to improve survival and reduce infections. This study evaluated bacteria from the Roseobacter clade as probiotic candidates during octopus embryonic and paralarval stages. Characterization of egg-associated microbiota revealed the absence of cultivable bacteria within eggs and a significantly lower bacterial load on egg surfaces under maternal care, highlighting the regulatory role of female cleaning behavior. No bacteria with antagonism against Vibrio lentus, a common pathogen to octopus, were isolated from egg surfaces. Therefore, selected Roseobacter clade strains were screened in vitro against relevant aquaculture pathogens. Phaeobacter strains showed strong inhibitory activity against Vibrio spp., including V. lentus, while Ruegeria strains exhibited higher specificity against Tenacibaculum maritimum. Based on these results, Phaeobacter sp. 4UAC3 was selected for in vivo assays. This strain successfully colonized eggs, water, and paralarvae; however, its application reduced hatching success in eggs by 33%, likely due to surface-associated accumulation of the bacteria linked to the administration method. In contrast, probiotic treatment significantly improved survival at the paralarval stage. Although high variability was observed, probably due to stressful rearing conditions, more than 50% was observed in treated vs. 0% in non-treated cases at day 6. Overall, Phaeobacter sp. 4UAC3 emerges as a promising probiotic candidate to improve O. vulgaris paralarvae survival, potentially contributing to solving this bottleneck in a sustainable way.</t>
  </si>
  <si>
    <t>[Granja, Luana; Santamaria, Jorge Carlos; Pintado, Jose; Del Olmo, Gonzalo] Inst Invest Marinas CSIC, Integrated Marine Ecol INMARE, Rua Eduardo Cabello 6, Vigo 36208, Spain; [Granja, Luana; Gestal, Camino] Inst Invest Marinas CSIC, Marine Mol Pathobiol PatoBioMar, Rua Eduardo Cabello 6, Vigo 36208, Spain</t>
  </si>
  <si>
    <t>Consejo Superior de Investigaciones Cientificas (CSIC); CSIC - Instituto de Investigaciones Marinas (IIM); Consejo Superior de Investigaciones Cientificas (CSIC); CSIC - Instituto de Investigaciones Marinas (IIM)</t>
  </si>
  <si>
    <t>Del Olmo, G (corresponding author), Inst Invest Marinas CSIC, Integrated Marine Ecol INMARE, Rua Eduardo Cabello 6, Vigo 36208, Spain.;Gestal, C (corresponding author), Inst Invest Marinas CSIC, Marine Mol Pathobiol PatoBioMar, Rua Eduardo Cabello 6, Vigo 36208, Spain.</t>
  </si>
  <si>
    <t>luanagranjafz@gmail.com; jsantamaria@iim.csic.es; pintado@iim.csic.es; cgestal@iim.csic.es; gdelolmo@iim.csic.es</t>
  </si>
  <si>
    <t>Spanish National Research Council; Ministerio de Ciencia e Innovacin [PRTR-C17.I1]</t>
  </si>
  <si>
    <t>Spanish National Research Council(Consejo Superior de Investigaciones Cientificas (CSIC)); Ministerio de Ciencia e Innovacin</t>
  </si>
  <si>
    <t>This work was funded by the Galicia Marine Science programme, which is part of the Complementary Science Plans for Marine Science of Ministerio de Ciencia e Innovacion, included in the Recovery, Transformation and Resilience Plan (PRTR-C17.I1), and funded through Xunta de Galicia with NextGenerationEU and European Maritime Fisheries and Aquaculture funds. L.G. received funding from the JAE Intro ICU 2024 Research Introduction Grant (Spanish National Research Council, CSIC).</t>
  </si>
  <si>
    <t>MAY 21</t>
  </si>
  <si>
    <t>10.3390/microorganisms14051165</t>
  </si>
  <si>
    <t>Microbiology</t>
  </si>
  <si>
    <t>WOS:001775028800001</t>
  </si>
  <si>
    <t>Le Bourg, B; Keraudran, M; Poisson, J; Ramonet, M; Dubreuil, J</t>
  </si>
  <si>
    <t>Le Bourg, Baptiste; Keraudran, Maxime; Poisson, Jorane; Ramonet, Morgane; Dubreuil, Julien</t>
  </si>
  <si>
    <t>Biology of a re-emerging population of octopus from north-eastern Atlantic</t>
  </si>
  <si>
    <t>FISHERIES RESEARCH</t>
  </si>
  <si>
    <t>Octopus vulgaris; Age; Growth; Reproduction; North-east Atlantic</t>
  </si>
  <si>
    <t>SEPIOTEUTHIS-LESSONIANA CEPHALOPODA; SQUID LOLIGO-VULGARIS; COMMON OCTOPUS; REPRODUCTIVE-CYCLE; TEMPORAL VARIATION; GALICIAN WATERS; AGE VALIDATION; GROWTH-RATES; CUVIER 1797; LIFE-CYCLE</t>
  </si>
  <si>
    <t>The sudden development of the common octopus (Octopus vulgaris) population in southern Brittany (France, north-east Atlantic), and its subsequent exploitation by local fisheries, made it necessary to assess the biology of this population. Body weight, ventral mantle length, gonad maturity, age and hatching season were estimated on individuals caught by fishermen during one year and a half. The occurrence of hatching throughout the year, together with the presence of mature females from November to July, suggests year-round reproduction. However, the higher proportions of mature females observed between March and June indicate that octopuses preferentially reproduce during spring. The relationship between age and body weight suggests that octopuses from southern Brittany exhibit a slower growth than those in previously investigated regions. Faster growth was also observed in individuals that hatched in summer compared to those hatched in winter. Inter- and intraregional growth plasticity was hypothesised to result from the influence of temperature on life history traits.</t>
  </si>
  <si>
    <t>[Le Bourg, Baptiste; Keraudran, Maxime; Poisson, Jorane] Museum Natl dHist Nat, Stn Marine Concarneau,Quai Croix, F-29900 Concarneau, France; [Ramonet, Morgane; Dubreuil, Julien] Com Reg Peches Maritimes &amp; Elevages Marins Bretagn, 22 Ave Rouillen, F-29500 Ergue Gaberic, France</t>
  </si>
  <si>
    <t>Le Bourg, B (corresponding author), Museum Natl dHist Nat, Stn Marine Concarneau,Quai Croix, F-29900 Concarneau, France.</t>
  </si>
  <si>
    <t>lebourg.bapt@gmail.com</t>
  </si>
  <si>
    <t>FEAMPA (Fonds Europeen pour les Affaires Maritimes, la Peche et l'Aquaculture)</t>
  </si>
  <si>
    <t>We thank Marc Chaduc and Christophe Tudal, captains of the fishing vessels Idefix and Paotred Ar Mor, respectively, for providing several octopus samples. Thanks are also due to Danila Cuccu (Universita degli studi di Cagliari, Department of Life and Environmental Sciences) for re-computing the equation of growth rates of octopuses from Sardinia. Thanks are also addressed to the anonymous referees for their helpful comments. This research was funded by the FEAMPA (Fonds Europeen pour les Affaires Maritimes, la Peche et l'Aquaculture) .</t>
  </si>
  <si>
    <t>MAY</t>
  </si>
  <si>
    <t>10.1016/j.fishres.2026.107727</t>
  </si>
  <si>
    <t>Fisheries</t>
  </si>
  <si>
    <t>WOS:001737740500001</t>
  </si>
  <si>
    <t>Costa, MM; Ferreirós-Vidal, I; Salas, A; Dios, S; Gambón, F; Gestal, C</t>
  </si>
  <si>
    <t>Costa, M. M.; Ferreiros-Vidal, I.; Salas, A.; Dios, S.; Gambon, F.; Gestal, C.</t>
  </si>
  <si>
    <t>Comprehensive guide for optimizing octopus immune cell preparation to enhance single cell RNA sequencing success</t>
  </si>
  <si>
    <t>SCIENTIFIC REPORTS</t>
  </si>
  <si>
    <t>GENE-EXPRESSION; VULGARIS; CEPHALOPODS; SYSTEM; EVOLUTION; BIOLOGY; WELFARE; IL-22; FISH</t>
  </si>
  <si>
    <t>The common octopus, Octopus vulgaris, is renowned for its advanced nervous system and complex behavior, yet its immune system remains poorly understood despite its relevance for health and pathogen resistance. Understanding octopus immunity is key to sustainable aquaculture and animal welfare. Single-cell RNA sequencing (scRNA-seq) provides high-resolution insights into immune cell diversity but requires viable single-cell suspensions, which are challenging in octopus hemocytes due to aggregation, high salinity, and chemical constraints. This study presents an optimized protocol for isolating circulating hemocytes and white body-resident hemocytes (WBH) from O. vulgaris. Hemocytes resuspended in Marine Antiaggregant Solution (MAS) maintained &gt; 90% viability and structural integrity for at least 2 h post-extraction, while WBH were dissociated using combined mechanical and enzymatic methods. Cell counting comparisons revealed poor correlation between LUNA-FL and flow cytometry, whereas Neubauer chamber counts aligned closely with cytometry data. Furthermore, a reduced-EDTA MAS medium (MAS low) proved compatible with 10 &amp; times; Genomics chemistry, enabling successful GEM generation, reverse transcription, and cDNA library construction. Shallow sequencing confirmed recovery of high-quality transcriptomes and distinct hemocyte populations, demonstrating the feasibility of scRNA-seq in this non-model marine species. These findings provide the first methodological framework for applying scRNA-seq to octopus immune cells, enabling detailed analysis of hemocyte diversity and function. This pipeline establishes the foundation for investigating immune responses and adaptation and offers a valuable tool for extending single-cell applications to other marine invertebrates, enhancing immunity understanding of cephalopod immunity, and supporting animal welfare and sustainable aquaculture practices.</t>
  </si>
  <si>
    <t>[Costa, M. M.; Dios, S.; Gestal, C.] Inst Invest Marinas IIM, CSIC, Vigo, Spain; [Ferreiros-Vidal, I.; Salas, A.] Univ Santiago Compostela, Hosp Clin Univ Santiago SERGAS, Inst Invest Sanitaria IDIS, Unidade Xenet,Fac Med,Inst Ciencias Forenses,Genet, Galicia 15706, Spain; [Ferreiros-Vidal, I.; Salas, A.] Inst Invest Sanitaria Santiago, Genet Vaccines &amp; Infect Res Grp GENVIP, Santiago De Compostela, Galicia, Spain; [Ferreiros-Vidal, I.; Salas, A.] Ctr Invest Biomed Red Enfermedades Respiratorias C, Madrid, Spain; [Gambon, F.] Vigo Univ Hosp Complex, Dept Immunol, Vigo, Spain</t>
  </si>
  <si>
    <t>Consejo Superior de Investigaciones Cientificas (CSIC); CSIC - Instituto de Investigaciones Marinas (IIM); Universidade de Santiago de Compostela; Complexo Hospitalario Universitario de Vigo</t>
  </si>
  <si>
    <t>Gestal, C (corresponding author), Inst Invest Marinas IIM, CSIC, Vigo, Spain.</t>
  </si>
  <si>
    <t>cgestal@iim.csic.es</t>
  </si>
  <si>
    <t>Consejo Superior de Investigaciones Cientificas (CSIC)</t>
  </si>
  <si>
    <t>Consejo Superior de Investigaciones Cientificas (CSIC)(Consejo Superior de Investigaciones Cientificas (CSIC))</t>
  </si>
  <si>
    <t>Open Access funding provided thanks to the CRUE-CSIC agreement with Springer Nature.</t>
  </si>
  <si>
    <t>APR 10</t>
  </si>
  <si>
    <t>10.1038/s41598-026-47700-6</t>
  </si>
  <si>
    <t>WOS:001783431100013</t>
  </si>
  <si>
    <t>Emami-Khoyi, A; Fee, GN; Landschoff, J; Amor, MD; Griffiths, C; Cherel, Y; Teske, PR</t>
  </si>
  <si>
    <t>Emami-Khoyi, Arsalan; Fee, Gareth N.; Landschoff, Jannes; Amor, Michael D.; Griffiths, Charles; Cherel, Yves; Teske, Peter R.</t>
  </si>
  <si>
    <t>Genomic Divergence Between Octopus vulgaris and Its Undescribed Sister Species From the South Atlantic and Indian Ocean</t>
  </si>
  <si>
    <t>ECOLOGY AND EVOLUTION</t>
  </si>
  <si>
    <t>Cephalopoda; cryptic species; genome; mitogenome; Octopus vulgaris complex; phylogenomic analysis</t>
  </si>
  <si>
    <t>MULTIPLE SEQUENCE ALIGNMENT; MITOCHONDRIAL GENOME; PHYLOGENETIC-RELATIONSHIPS; CEPHALOPODA OCTOPODIDAE; GENETIC-EVIDENCE; DNA; POPULATION; INSULARIS; EVOLUTION; TRANSPORT</t>
  </si>
  <si>
    <t>Molecular data are widely used to resolve complex phylogenetic relationships between cryptic species, particularly in cases where morphological features are insufficient to confirm taxonomic distinctness. For benthic shallow-water octopuses, several successes and failures have been reported when attempting to delineate species using individual nuclear or mitochondrial markers. In this study, we investigated the potential of shallow random shotgun sequencing to assess the phylogenetic placement of an undescribed southern hemisphere lineage within the Octopus vulgaris species complex, which could not be conclusively delimited using single-marker approaches. A total of 338 nuclear loci, along with complete mitochondrial genomes, were generated for two specimens presently classified as Octopus vulgaris (Type III) that originated from the southeastern Atlantic coast of South Africa and Amsterdam Island in the southern Indian Ocean. Our combined phylogenomic approach reveals that this lineage is genetically distinct from O. vulgaris sensu stricto (ss) from the Mediterranean and the northeast Atlantic, as well as from the closely related O. sinensis from East Asia. A further separation of O. vulgaris (Type III) into distinct South African and Amsterdam Island lineages cannot be proven. These findings add to the growing body of evidence that supports O. vulgaris Type III as a genetically distinct lineage within the O. vulgaris species complex, and emphasise that the taxonomic classification of this southern hemisphere lineage warrants re-evaluation.</t>
  </si>
  <si>
    <t>[Emami-Khoyi, Arsalan] Hungarian Univ Agr &amp; Life Sci, Inst Wildlife Management &amp; Nat Conservat, Godollo, Hungary; [Emami-Khoyi, Arsalan; Teske, Peter R.] Univ Johannesburg, Ctr Ecol Genom &amp; Wildlife Conservat, Dept Zool, Auckland Pk, South Africa; [Fee, Gareth N.; Landschoff, Jannes; Griffiths, Charles] Univ Cape Town, Dept Biol Sci, Cape Town, South Africa; [Fee, Gareth N.; Landschoff, Jannes] Sea Change Trust, Sea Change Project, Cape Town, South Africa; [Amor, Michael D.] Western Australian Museum, Dept Aquat Zool, Welshpool, WA, Australia; [Cherel, Yves] La Rochelle Univ, Ctr Etud Biol Chize CEBC, CNRS, UMR 7372, Villiers En Bois, France</t>
  </si>
  <si>
    <t>Hungarian University of Agriculture &amp; Life Sciences; University of Johannesburg; University of Cape Town; Western Australian Museum; Centre National de la Recherche Scientifique (CNRS); CNRS - Institute of Ecology &amp; Environment (INEE)</t>
  </si>
  <si>
    <t>Emami-Khoyi, A (corresponding author), Hungarian Univ Agr &amp; Life Sci, Inst Wildlife Management &amp; Nat Conservat, Godollo, Hungary.;Emami-Khoyi, A (corresponding author), Univ Johannesburg, Ctr Ecol Genom &amp; Wildlife Conservat, Dept Zool, Auckland Pk, South Africa.</t>
  </si>
  <si>
    <t>ekarsalan@gmail.com</t>
  </si>
  <si>
    <t>Save Our Seas Foundation; University of Johannesburg</t>
  </si>
  <si>
    <t>Save Our Seas Foundation; University of Johannesburg(University of Johannesburg)</t>
  </si>
  <si>
    <t>This study was funded by a URC grant from the University of Johannesburg awarded to P.R.T. The postgraduate work of G.N.F. is supported through the Sea Change Project by the Keystone Grant 542 (1001 Seaforest Species) from the Save Our Seas Foundation, as well as a scholarship from the University of Cape Town. We would like to thank the Centre for High Performance Computing (CHPC) in Cape Town and the Hungarian University of Agriculture and Life Sciences IT services for providing computational platforms to analyse the data.</t>
  </si>
  <si>
    <t>MAR 16</t>
  </si>
  <si>
    <t>e73235</t>
  </si>
  <si>
    <t>10.1002/ece3.73235</t>
  </si>
  <si>
    <t>Ecology; Evolutionary Biology</t>
  </si>
  <si>
    <t>Environmental Sciences &amp; Ecology; Evolutionary Biology</t>
  </si>
  <si>
    <t>WOS:001720388500001</t>
  </si>
  <si>
    <t>Oyarzún, M; Schmidt, C; Ponte, G; Fiorito, G; Olsen, K; Mouritsen, OG</t>
  </si>
  <si>
    <t>Oyarzun, Mauricio; Schmidt, Charlotte, V; Ponte, Giovanna; Fiorito, Graziano; Olsen, Karsten; Mouritsen, Ole G.</t>
  </si>
  <si>
    <t>Effect of slaughtering method on umami compounds in meat of Octopus vulgaris</t>
  </si>
  <si>
    <t>INTERNATIONAL JOURNAL OF GASTRONOMY AND FOOD SCIENCE</t>
  </si>
  <si>
    <t>Octopus; Slaughtering; Suffocation; Anaesthesia; Umami; Glutamate; Nucleotides</t>
  </si>
  <si>
    <t>QUALITY; WELFARE; CEPHALOPODS; MECHANISM; SQUID</t>
  </si>
  <si>
    <t>The eating quality of meat from cephalopods, in particular taste and texture, may depend on the way the animals are slaughtered. Knowing the relationship between slaughtering method and meat quality is important not only for the eater but also for designing the most humane slaughtering method for the animals in question. Here we analyse the meat from arms of Octopus vulgaris that have been killed by traditional suffocation methods and compare with meat from animals that have been anaesthetised before killing. By chemical analysis we determine the composition of the meat in terms of two free amino acid salts, glutamate and aspartate, along with the contents of the free nucleotides AMP, GMP, and IMP. These five compounds are decisive for the taste of the meat since they enter a powerful umami synergy. Although there is a substantial variation among biological replicates, our findings show that whereas the contents of the free amino acid do not depend on the slaughtering method, the contents of GMP and IMP are higher and that of AMP is lower in the meat from animals that have been killed by anaesthesia. The results suggest that meat quality as judged by the umami potential is higher in animals killed by anaesthesia. The comparison of two slaughtering methods combined with a temporal analysis over 48 h provides valuable insights into post-mortem flavour development. The focus on umami-related compounds contributes to discussions on both meat quality and aquatic animal welfare.</t>
  </si>
  <si>
    <t>[Oyarzun, Mauricio; Olsen, Karsten; Mouritsen, Ole G.] Univ Copenhagen, Dept Food Sci Design &amp; Consumer Behav DCB, Rolighedsvej 26, DK-1958 Copenhagen, Denmark; [Schmidt, Charlotte, V] FEAST Ingredient, Fruebjergvej 3, DK-2100 Copenhagen O, Denmark; [Ponte, Giovanna; Fiorito, Graziano] Stn Zool Anton Dohrn, Dept Biol &amp; Evolut Marine Organisms, Naples, Italy</t>
  </si>
  <si>
    <t>University of Copenhagen; Stazione Zoologica Anton Dohrn</t>
  </si>
  <si>
    <t>Mouritsen, OG (corresponding author), Univ Copenhagen, Dept Food Sci Design &amp; Consumer Behav DCB, Rolighedsvej 26, DK-1958 Copenhagen, Denmark.</t>
  </si>
  <si>
    <t>ole.mouritsen@food.ku.dk</t>
  </si>
  <si>
    <t>Humane Slaughter Organization; European Umami Committee</t>
  </si>
  <si>
    <t>This work was carried out as part of the project Bringing Humane Slaughtering to Cephalopod Molluscs: An Integrative Approach funded by The Humane Slaughter Organization. The work by OGM is supported by the European Umami Committee. The opinions, findings, and con-clusions are those of the authors alone, and the funding agencies accept no liability whatsoever in this regard.</t>
  </si>
  <si>
    <t>MAR</t>
  </si>
  <si>
    <t>10.1016/j.ijgfs.2026.101437</t>
  </si>
  <si>
    <t>FEB 2026</t>
  </si>
  <si>
    <t>WOS:001695080800001</t>
  </si>
  <si>
    <t>Hair, MA; Bennice, CO; McCoy, KA; McCoy, MW</t>
  </si>
  <si>
    <t>Hair, Madelyn A.; Bennice, Chelsea O.; McCoy, Krista A.; McCoy, Michael W.</t>
  </si>
  <si>
    <t>Plastic leachate oleamide alters predator-prey interactions amongst marine invertebrates</t>
  </si>
  <si>
    <t>JOURNAL OF EXPERIMENTAL MARINE BIOLOGY AND ECOLOGY</t>
  </si>
  <si>
    <t>Octopus; Chemical ecology; Pollution; Cephalopod behavior; Decision-making; Benthic</t>
  </si>
  <si>
    <t>OCTOPUS-VULGARIS; CHEMICAL CUES; BEHAVIOR; ECOLOGY; ADDITIVES; MIGRATION; POLLUTION; DOPAMINE; RELEASE</t>
  </si>
  <si>
    <t>Natural chemical cues, such as those released by predators or resources, are widely used in marine ecosystems to inform decision-making. However, many chemical pollutants, like plastic leachates, can disrupt information generated by natural chemical cues and alter organism behavior such as predatory or defensive strategies. Understanding how chemical cues and organism behaviors are altered by pollutants is important for predicting community dynamics in benthic environments where plastic pollution accumulates. In this study, we investigated how a specific plastic leachate, oleamide, influences prey selection, predator-prey proximity, and the frequency and outcome of predator-prey interactions in a simplified experimental benthic marine food web. Specifically, we tested how oleamide affected predator behavior in the south Florida common octopus (Octopus vulgaris), an abundant meso-predator, toward 4 common prey taxa: hermit crabs, free-living crabs, snails, and clams. Octopus prey selection was recorded daily, and predator-prey proximity and interactions were analyzed from video recordings before, during, and after oleamide exposure (0.31 ppb). Although there was among-individual variation in prey selection, overall crustaceans were the most-selected prey, and selections of freeliving crabs increased during and after exposure to oleamide relative to pre-exposure. Moreover, both crustacean taxa maintained closer proximity to the octopus during oleamide exposure compared to pre-exposure. Although total predator-prey interactions and non-consumptive contacts (octopus contacts prey but does not consume) increased during exposure to oleamide, successful predation events did not change. The maintenance of closer proximity and increased interactions between predators and prey suggests that oleamide confounds decision-making and alters species interactions in polluted benthic environments.</t>
  </si>
  <si>
    <t>[Hair, Madelyn A.; McCoy, Krista A.; McCoy, Michael W.] Florida Atlantic Univ, Oceanog Inst, Harbor Branch, 5600 US 1, Ft Pierce, FL 34946 USA; [Bennice, Chelsea O.] Florida Atlantic Univ, Marine Sci Lab, 777 Glades Rd, Boca Raton, FL 33461 USA; [Bennice, Chelsea O.; McCoy, Michael W.] Florida Atlantic Univ, Dept Biol Sci, 777 Glades Rd, Boca Raton, FL 33431 USA; [Hair, Madelyn A.] Univ Colorado, Dept Ecol &amp; Evolutionary Biol, 1900 Pleasant St, Boulder, CO 80309 USA; [McCoy, Krista A.] Florida Oceanog Soc, 890 NE Ocean Blvd, Stuart, FL 34996 USA</t>
  </si>
  <si>
    <t>State University System of Florida; Florida Atlantic University; Harbor Branch Oceanographic Institute Foundation; State University System of Florida; Florida Atlantic University; Florida Atlantic University; State University System of Florida; Florida Atlantic University; University of Colorado System; University of Colorado Boulder</t>
  </si>
  <si>
    <t>Hair, MA (corresponding author), Florida Atlantic Univ, Oceanog Inst, Harbor Branch, 5600 US 1, Ft Pierce, FL 34946 USA.;Hair, MA (corresponding author), Univ Colorado, Dept Ecol &amp; Evolutionary Biol, 1900 Pleasant St, Boulder, CO 80309 USA.</t>
  </si>
  <si>
    <t>mhair2021@fau.edu; cbennice@fau.edu; mccoym@fau.edu</t>
  </si>
  <si>
    <t>Florida Atlantic University; Conchologists of America, Inc.; Harbor Branch Oceanographic Institute</t>
  </si>
  <si>
    <t>This work was supported by internal funding from the Florida Atlantic University and Harbor Branch Oceanographic Institute and by a grant from the Conchologists of America, Inc. (Toto Olivero and Donald Dan Award, 2022) .</t>
  </si>
  <si>
    <t>10.1016/j.jembe.2026.152173</t>
  </si>
  <si>
    <t>Ecology; Marine &amp; Freshwater Biology</t>
  </si>
  <si>
    <t>Environmental Sciences &amp; Ecology; Marine &amp; Freshwater Biology</t>
  </si>
  <si>
    <t>WOS:001694204700001</t>
  </si>
  <si>
    <t>Silva, DM; Almeida, CMR; Guardiola, FA; Ramos, S</t>
  </si>
  <si>
    <t>Silva, Diogo M.; Almeida, C. Marisa R.; Guardiola, Francisco A.; Ramos, Sandra</t>
  </si>
  <si>
    <t>Microplastic contamination in seafood: Comparison between fresh and canned samples</t>
  </si>
  <si>
    <t>APPLIED FOOD RESEARCH</t>
  </si>
  <si>
    <t>Seafood contamination; Canned seafood; Fresh seafood; Plastic pollution; Food safety; Human exposure</t>
  </si>
  <si>
    <t>Awareness of microplastics (MPs) pollution has grown in recent years, with studies reporting MPs contamination in marine ecosystems and seafood and raising concerns for human health. This study addresses a key knowledge gap by comparing MPs contamination in fresh and canned samples of four seafood species: European pilchard, Atlantic chub-mackerel, common octopus, and Mediterranean mussel. MPs were extracted (digestion in 30% hydrogen peroxide), quantified and characterized (polymer composition determined with Fourier Transform Infrared Spectroscopy), revealing a higher frequency of contamination (FC) and concentration in canned samples (FC= 60%, 0.107 +/- 0.123 MPs g(-)(1)) compared to fresh samples (FC= 37%, 0.038 +/- 0.025 MPs g(-)(1)). All species presenting a higher concentration of MPs per meal in the canned samples, mainly the Atlantic chub mackerel (0.037 +/- 0.076 MPs g(-1) of fresh tissue and 0.13 +/- 0.15 MPs g(-1) of canned tissue) and common octopus (0.005 +/- 0.006 MPs g(-1) of fresh tissue and 0.12 +/- 0.13 MPs g(-1) of canned tissue) that presented significantly higher MPs content in the canned meal (p &lt; 0.05). Principal Component Analysis indicated that canned samples had greater variability in polymer types, colours, and larger particle sizes, indicating possible contamination sources introduced during canning processing. The present findings suggest that canning processes can be an additional source of MPs, highlighting potential implications for consumer exposure and food safety. This emphasizes the need for further research to help understand the mechanisms of MPs transfer within seafood processing facilities.</t>
  </si>
  <si>
    <t>[Silva, Diogo M.] Univ Porto, ICBAS Sch Med &amp; Biomed Sci, Porto, Portugal; [Silva, Diogo M.; Almeida, C. Marisa R.; Ramos, Sandra] Univ Porto, CIIMAR Interdisciplinary Ctr Marine &amp; Environm Re, Porto, Portugal; [Almeida, C. Marisa R.] Univ Porto, Fac Sci, Chem &amp; Biochem Dept, Porto, Portugal; [Guardiola, Francisco A.] Univ Murcia, Fac Biol,Campus Reg Excelencia Int, Dept Cell Biol &amp; Histol,Campus Mare Nostrum, Immunobiol Aquaculture Grp, Murcia, Spain</t>
  </si>
  <si>
    <t>Universidade do Porto; Universidade do Porto; Universidade do Porto; University of Murcia</t>
  </si>
  <si>
    <t>Silva, DM (corresponding author), Univ Porto, ICBAS Sch Med &amp; Biomed Sci, Porto, Portugal.;Silva, DM (corresponding author), Univ Porto, CIIMAR Interdisciplinary Ctr Marine &amp; Environm Re, Porto, Portugal.</t>
  </si>
  <si>
    <t>up200500206@edu.icbas.up.pt</t>
  </si>
  <si>
    <t>Claudia Alves; FreeLitterAT [EAPA_0009/2022]; European Union; European Regional Development Fund; FCT [UIDB/04423/2020]; ERDF</t>
  </si>
  <si>
    <t>Claudia Alves; FreeLitterAT; European Union(European Union (EU)); European Regional Development Fund(European Union (EU)); FCT(Fundacao para a Ciencia e a Tecnologia (FCT)); ERDF(European Union (EU))</t>
  </si>
  <si>
    <t>Authors want to acknowledge Claudia Alves from the Department of Chemistry and Biochemistry from the Faculty of Sciences of the University of Porto (FCUP|DQB-Lab &amp; Services) for the support during ATR-FTIR analyses, and all the professional fishers that provided fresh samples. The present research was partially funded by the FreeLitterAT (EAPA_0009/2022) , co-financed by the European Union and the European Regional Development Fund through the Interreg Atlantic Area Programme; and by the FCT through the Strategic Funding UIDB/04423/2020 and UIDP/04423/2020 through national funds provided by FCT and ERDF, and a PhD fellowship to DMS (2020.06088.BD) .</t>
  </si>
  <si>
    <t>10.1016/j.afres.2025.101649</t>
  </si>
  <si>
    <t>JAN 2026</t>
  </si>
  <si>
    <t>WOS:001678202500001</t>
  </si>
  <si>
    <t>Seixas, S; Baeta, A; Marques, JC</t>
  </si>
  <si>
    <t>Seixas, Sonia; Baeta, Alexandra; Marques, Jaoo C.</t>
  </si>
  <si>
    <t>Integrating prey monitoring and stable isotope analysis to assess the diet of Octopus vulgaris in Portuguese coastal waters</t>
  </si>
  <si>
    <t>Octopus vulgaris; Feeding ecology; Stable isotope analysis; Prey selection; Trophic interaction; Marine food web; Trophic level estimation</t>
  </si>
  <si>
    <t>FEEDING ECOLOGY; SIGNATURES; PREDATORS; AREAS</t>
  </si>
  <si>
    <t>This study explores the feeding ecology of Octopus vulgaris in the Cascais region through a combined approach of long-term prey monitoring and stable isotope analysis. Over several months, we worked with local fishermen to observe and record prey items found in octopus pots and those carried by octopuses at the time of capture. These field observations enabled the identification of key prey species, which were subsequently analysed isotopically to estimate their contribution to the octopus diet. The results show that Atrina fragilis is the main prey, making up about 70 %, followed by Polybius henslowii (18 %), with Cymbium olla and Cepola macrophthalma contributing smaller amounts. Our findings highlight the limitations of traditional stomach content analysis, which often underestimates soft-bodied or highly digested prey, and emphasise the importance of isotopic methods to provide a more comprehensive and long-term view of trophic interactions. This integrated approach enhances our understanding of O. vulgaris feeding strategies and has significant implications for ecological research and the sustainable management of fisheries in the region.</t>
  </si>
  <si>
    <t>[Seixas, Sonia] Univ Aberta, Dept Sci &amp; Technol, Rua Escola Politecn,147, P-1269001 Lisbon, Portugal; [Baeta, Alexandra; Marques, Jaoo C.] Univ Coimbra, ARNET Aquat Res Network, MARE Marine &amp; Environm Sci Ctr, P-3000456 Coimbra, Portugal</t>
  </si>
  <si>
    <t>Universidade Aberta; Universidade de Coimbra</t>
  </si>
  <si>
    <t>Seixas, S (corresponding author), Univ Aberta, Dept Sci &amp; Technol, Rua Escola Politecn,147, P-1269001 Lisbon, Portugal.</t>
  </si>
  <si>
    <t>sonia.seixas@uab.pt</t>
  </si>
  <si>
    <t>Marine and Environmental Research Centre (MARE); Associated Laboratory Aquatic Research Network (ARNET)</t>
  </si>
  <si>
    <t>The work of SS, AB, and JCM was supported by Marine and Environmental Research Centre (MARE) doi:10.54499/UIDB/04292/2020 and Associated Laboratory Aquatic Research Network (ARNET) doi:10.5 4499/LA/P/0069/2020.</t>
  </si>
  <si>
    <t>10.1016/j.fishres.2026.107649</t>
  </si>
  <si>
    <t>WOS:001668406300001</t>
  </si>
  <si>
    <t>Pieroni, EM; O'Connor, V; Holden-Dye, L; Imperadore, P; Fiorito, G; Dillon, J</t>
  </si>
  <si>
    <t>Pieroni, Eleonora Maria; O'Connor, Vincent; Holden-Dye, Lindy; Imperadore, Pamela; Fiorito, Graziano; Dillon, James</t>
  </si>
  <si>
    <t>Identification of molecular nociceptors in Octopus vulgaris through functional characterisation in Caenorhabditis elegans</t>
  </si>
  <si>
    <t>BIOLOGY OPEN</t>
  </si>
  <si>
    <t>Nociception; Sensory cues; Octopus; O. vulgaris; C. elegans; Model</t>
  </si>
  <si>
    <t>SENSING ION CHANNELS; C. ELEGANS; TRP CHANNELS; CHEMICAL NOCICEPTION; SENSORY FUNCTIONS; CATION CHANNEL; GENE FAMILIES; RECEPTOR; PROTEIN; TOUCH</t>
  </si>
  <si>
    <t>Nociception, a phenomenon crucial for animal survival, deploys evolutionarily conserved molecular mechanisms. Among invertebrate species, cephalopods are of particular interest as they possess a well-developed brain speculated to be able to encode pain-like states. This has led to their inclusion in the Directive 2010/63 EU for welfare protection. However, the molecular mechanisms of nociception in cephalopods are still poorly characterised and it is important to address this knowledge gap to better understand cephalopods' capacity to express pain states. Here we describe a bioinformatic strategy utilising conserved nociceptive genes, to identify the orthologous candidates in the Octopus vulgaris transcriptome. We identified 51 genes we predict to function in nociception. These add to the mechanosensory TRPN and the unique chemotactile receptors recently identified in octopus suckers, thus expanding the set of genes that merit further functional characterisation in cephalopods. We therefore selected 38 orthologues in Caenorhabditis elegans, a tractable experimental platform and tested loss of function mutant strains of distinct functional gene classes (e.g. osm-9, egl-3, frpr-3) in a low pH avoidance paradigm. This identified 19 nociceptive-related genes to be prioritised for further functional characterisation in O. vulgaris.</t>
  </si>
  <si>
    <t>[Pieroni, Eleonora Maria; O'Connor, Vincent; Holden-Dye, Lindy; Dillon, James] Univ Southampton, Fac Environm &amp; Life Sci, Sch Biol Sci, Southampton SO17 1BJ, England; [Pieroni, Eleonora Maria] Assoc Cephalopod Res CephRes ETS, Via Rampe Brancaccio 49, I-80132 Naples, Italy; [Imperadore, Pamela; Fiorito, Graziano] Stn Zool Anton Dohrn, Dept Biol &amp; Evolut Marine Organisms, Via Francesco Caracciolo, I-80121 Naples, Italy</t>
  </si>
  <si>
    <t>Dillon, J (corresponding author), Univ Southampton, Fac Environm &amp; Life Sci, Sch Biol Sci, Southampton SO17 1BJ, England.</t>
  </si>
  <si>
    <t>jcd@soton.ac.uk</t>
  </si>
  <si>
    <t>Association for Cephalopod Research 'CephRes' ETS, Napoli, Italy [HSA-Ceph 1/2019]; CephRes [HSA-Ceph 1/2019]; Gerald Kerkut Charitable Trust; University of Southampton</t>
  </si>
  <si>
    <t>Association for Cephalopod Research 'CephRes' ETS, Napoli, Italy; CephRes; Gerald Kerkut Charitable Trust; University of Southampton</t>
  </si>
  <si>
    <t>E.M.P. is funded by the Association for Cephalopod Research 'CephRes' ETS, Napoli, Italy and the HSA-Ceph 1/2019 grant from 'CephRes', and The Gerald Kerkut Charitable Trust. Open Access funding provided by University of Southampton. Deposited in PMC for immediate release.</t>
  </si>
  <si>
    <t>bio062268</t>
  </si>
  <si>
    <t>10.1242/bio.062268</t>
  </si>
  <si>
    <t>Biology</t>
  </si>
  <si>
    <t>Life Sciences &amp; Biomedicine - Other Topics</t>
  </si>
  <si>
    <t>WOS:001773064300001</t>
  </si>
  <si>
    <t>Wail, MA; Showehdi, ML; Jbr, HA; Khoufi, W; Jabeur, C; Shaibi, T</t>
  </si>
  <si>
    <t>Wail, Magfera A.; Showehdi, Mohamed L.; Jbr, Hamida A.; Khoufi, Widien; Jabeur, Chedia; Shaibi, Taher</t>
  </si>
  <si>
    <t>Growth of Octopus vulgaris cuvier, 1797 along the Mediterranean Sea's western Libyan coast</t>
  </si>
  <si>
    <t>OPEN VETERINARY JOURNAL</t>
  </si>
  <si>
    <t>Octopus vulgaris; Length-weight relationship; Fisheries management; Libya; Mediterranean Sea</t>
  </si>
  <si>
    <t>REPRODUCTIVE-BIOLOGY; CEPHALOPODA; OCTOPODIDAE; FISHERY; WATERS; CAUGHT; GULF</t>
  </si>
  <si>
    <t>Background: The common octopus, Octopus vulgaris, is an ecologically and economically vital cephalopod species in the Mediterranean; however, its biological characteristics remain unstudied in Libyan waters. Aim: This study provides the first comprehensive analysis of growth patterns for this species along the western Libyan coast. Methods: A total of 390 specimens (172 males, 218 females) were collected monthly from January 2021 to January 2022. Results: Dorsal mantle length (DML) ranged from 5 to 25 cm, and body weight (BW) ranged from 63 to 3376 g, with no significant difference between the sexes. A strong seasonal pattern was observed, with the minimum average size recorded in August (similar to 11 cm, similar to 340 g) and the maximum size recorded in January (similar to 18 cm, similar to 1450 g). The length-weight relationship revealed negative allometric growth (b = 2.85) for both sexes, with a strong correlation (R-2 &gt; 0.94) and no significant sexual dimorphism. The von Bertalanffy growth function estimated asymptotic lengths (L infinity) of 30 and 28 cm for males and 28 cm for females, consistent with other Mediterranean populations but lower than those of the Atlantic ones, suggesting biogeographical constraints. The condition index showed significant seasonal variation, with lows in March and peaks in June, likely linked to reproductive cycles. Conclusion: These results characterize a population with typical Mediterranean growth dynamics. A pronounced seasonal recruitment pulse in late summer highlights the vulnerability of juveniles to fishing pressure. We recommend the implementation of fisheries management strategies, such as seasonal closures during this critical period, to ensure the sustainability of this valuable Libyan resource.</t>
  </si>
  <si>
    <t>[Wail, Magfera A.] Univ Tripoli, Fac Educ, Biol Dept, Tripoli, Libya; [Showehdi, Mohamed L.] Univ Tripoli, Fac Vet Med, Dept Poultry &amp; Fish Dis, Tripoli, Libya; [Jbr, Hamida A.; Shaibi, Taher] Univ Tripoli, Fac Sci, Zool Dept, Tripoli, Libya; [Khoufi, Widien] Univ Monastir, Fac Pharm, Lab Anal Treatment &amp; Valorizat Pollutants Environm, Monastir, Tunisia; [Jabeur, Chedia] High Inst Biotechnol Monastir, Monastir, Tunisia</t>
  </si>
  <si>
    <t>University of Tripoli; University of Tripoli; University of Tripoli; Universite de Monastir; Universite de Monastir</t>
  </si>
  <si>
    <t>Shaibi, T (corresponding author), Univ Tripoli, Fac Sci, Zool Dept, Tripoli, Libya.</t>
  </si>
  <si>
    <t>t.shaibi@uot.edu.ly</t>
  </si>
  <si>
    <t>10.5455/OVJ.2026.v16.i1.40</t>
  </si>
  <si>
    <t>Veterinary Sciences</t>
  </si>
  <si>
    <t>WOS:001691658600036</t>
  </si>
  <si>
    <t>Hunt, K; Freeman, M; Chamberlain, C; Perkins, K</t>
  </si>
  <si>
    <t>Hunt, Kerry; Freeman, Marianne; Chamberlain, Cameron; Perkins, Kerry</t>
  </si>
  <si>
    <t>Nutritional insights into octopus diets in aquaria</t>
  </si>
  <si>
    <t>JOURNAL OF ZOO AND AQUARIUM RESEARCH</t>
  </si>
  <si>
    <t>aquaria; comparative nutrition; octopus; proximate analysis</t>
  </si>
  <si>
    <t>COMMON OCTOPUS; COASTAL WATERS; VULGARIS; GROWTH; TEMPERATURE; CEPHALOPODS; NITROGEN</t>
  </si>
  <si>
    <t>Common octopus Octopus vulgaris are a popular exhibit in aquaria; however, there is limited research on the nutritional requirements of this species. The current information available is from the aquaculture industry and thus focused on young individuals and maximising growth rates. Diets for 17 common octopus housed in aquaria in Europe were collected and ingredients identified. Nutritional analyses of these items were undertaken, including protein, fat, energy and a range of minerals to produce profiles of each animal's weekly diet. All but one collection fed a mixture of fish and marine invertebrates with shore crabs being the most provided item followed by molluscs (mussels and clams), mimicking the natural diet. Octopus were fed between 3 and 7 times per week. All of the diets had protein levels above 50 % (in dry matter, DM) and many of the diets (59 %) had protein levels of over 60 % DM, which is expected as protein is the main macronutrient for octopus. Fat levels were variable between collections with most diets being higher in fats than recommended. This study highlights the variation in diets provided to common octopus. Further research on the impact of these diets on growth, development and longevity would be beneficial in developing recommendations for octopus diets.</t>
  </si>
  <si>
    <t>[Hunt, Kerry] SEA LIFE, Link House 25,West St, Poole BH15 1LD, England; [Freeman, Marianne; Chamberlain, Cameron; Perkins, Kerry] Univ Ctr Sparsholt, Westley Lane, Sparsholt SO21 2NF, England</t>
  </si>
  <si>
    <t>Hunt, K (corresponding author), SEA LIFE, Link House 25,West St, Poole BH15 1LD, England.</t>
  </si>
  <si>
    <t>Kerry.hunt@merlinentertainments.biz</t>
  </si>
  <si>
    <t>10.19227/jzar.v14i1.985</t>
  </si>
  <si>
    <t>WOS:001686976300004</t>
  </si>
  <si>
    <t>Falco, S; Rodilla, M; Crespo-Picazo, JL; García-Párraga, D; Gairin, I; Prado, P</t>
  </si>
  <si>
    <t>Falco, Silvia; Rodilla, Miguel; Crespo-Picazo, Jose Luis; Garcia-Parraga, Daniel; Gairin, Ignasi; Prado, Patricia</t>
  </si>
  <si>
    <t>Predation by Native Mediterranean Species on the Invasive Blue Crab: Experimental Evidence from the Common Octopus and the Loggerhead Sea Turtle</t>
  </si>
  <si>
    <t>ANIMALS</t>
  </si>
  <si>
    <t>invasive species; Callinectes sapidus; predation; loggerhead sea turtle; common octopus; biological control</t>
  </si>
  <si>
    <t>CARETTA-CARETTA L; CALLINECTES-SAPIDUS; VULGARIS CUVIER; LIFE-HISTORY; GROWTH; DIET; FOOD; MANAGEMENT; ABUNDANCE; FISHERY</t>
  </si>
  <si>
    <t>Simple Summary The blue crab is an invasive species that has rapidly spread along Mediterranean coasts, threatening marine ecosystems. Exploring natural ways to control its population could help reduce these impacts. In this study, we investigated the functional size preference and feeding rates of two native predators-the common octopus and the loggerhead sea turtle-when feeding on blue crabs. In aquarium experiments, predators were offered crabs of different sizes under controlled conditions to assess whether they preferred certain sizes and how much they could consume in a day. Both species consumed substantial amounts of blue crabs: octopuses fed only on soft tissues, whereas turtles ingested whole crabs, including the exoskeleton. Octopuses exhibited shorter handling times for small crabs, although neither predator showed a marked size preference. Our findings suggest that, particularly octopuses, thanks to their abundance and feeding efficiency, could contribute to limiting invasive crab populations and support ecosystem balance. The rapid spread of the invasive blue crab (Callinectes sapidus) in Mediterranean coastal ecosystems poses ecological and socio-economic challenges, highlighting the need to explore natural control mechanisms. We conducted controlled aquarium experiments to assess the functional size preference and feeding rates of two native Mediterranean predators: the common octopus (Octopus vulgaris) and the loggerhead sea turtle (Caretta caretta). Two sets of trials were performed: (1) size preference experiments, in which individual predators were simultaneously offered crabs of varying sizes; and (2) ad libitum feeding experiments to estimate daily consumption rates. Octopuses consumed only the soft tissues biomass (STB, similar to 54% of total crab biomass), reaching maximum intake rates of 454 +/- 71 gWW.d(-1) in adult individuals. Sea turtles ingested whole crabs, including the exoskeleton, with total consumption rates up to 815 +/- 592 gWW.d(-1) of total biomass (TB) in adults. Subadult octopuses exhibited shorter handling times for small crabs, although neither predator showed a statistically significant size preference. Our findings indicate that both predators can consume substantial amounts of blue crab biomass, but O. vulgaris-due to its higher feeding efficiency and ecological abundance-might play a more prominent role as a natural biocontrol agent. These results provide valuable insights for integrated management strategies aimed at mitigating the ecological impact of C. sapidus in the Mediterranean.</t>
  </si>
  <si>
    <t>[Falco, Silvia; Rodilla, Miguel] Univ Politecn Valencia, Inst Invest Gest Integrada Zonas Costeras IGIC, C Paranimf 1, Valencia 46730, Spain; [Crespo-Picazo, Jose Luis; Garcia-Parraga, Daniel] Fdn Oceanog Comunitat Valenciana, C Eduardo Primo Yufera Cient 1B, Valencia 46013, Valencia, Spain; [Gairin, Ignasi; Prado, Patricia] Inst Recerca &amp; Tecnol Agroalimentaries IRTA La Rap, Ctra Poble Nou Km 5 5, Tarragona 43540, Spain; [Prado, Patricia] Univ Catolica Valencia SVM, Inst Invest Medio Ambiente &amp; Ciencia Marina IMEDM, C Explanada Puerto S-N, Alicante 03710, Spain; [Prado, Patricia] Inst Estudis Profess Aquicoles &amp; Ambientals Catalu, Tarragona 43540, Spain</t>
  </si>
  <si>
    <t>Universitat Politecnica de Valencia; IRTA; Universidad Catolica de Valencia San Vicente Martir</t>
  </si>
  <si>
    <t>Falco, S (corresponding author), Univ Politecn Valencia, Inst Invest Gest Integrada Zonas Costeras IGIC, C Paranimf 1, Valencia 46730, Spain.</t>
  </si>
  <si>
    <t>sfalcog@upv.edu.es; mrodilla@upv.edu.es; jlcrespo@oceanografic.org; dgarcia@oceanografic.org; ignasi.gairin@irta.cat; patricia.prado@ucv.es</t>
  </si>
  <si>
    <t>Spanish National Institute for Agricultural and Food Research and Technology; Ministry of Science and Innovation [PID 2020-118476RR-C21]</t>
  </si>
  <si>
    <t>Spanish National Institute for Agricultural and Food Research and Technology; Ministry of Science and Innovation(Spanish Government)</t>
  </si>
  <si>
    <t>This research was funded by the Ministry of Science and Innovation (Grant PID 2020-118476RR-C21 by MCIN/AEI/10.13039/501100011033). P. Prado was contracted under the INIA-CCAA cooperative research program for postdoctoral incorporation from the Spanish National Institute for Agricultural and Food Research and Technology (INIA).</t>
  </si>
  <si>
    <t>DEC 11</t>
  </si>
  <si>
    <t>10.3390/ani15243566</t>
  </si>
  <si>
    <t>Agriculture, Dairy &amp; Animal Science; Veterinary Sciences; Zoology</t>
  </si>
  <si>
    <t>Agriculture; Veterinary Sciences; Zoology</t>
  </si>
  <si>
    <t>WOS:001648103700001</t>
  </si>
  <si>
    <t>Muenzel, D; Critchell, K; Treml, EA; Beger, M</t>
  </si>
  <si>
    <t>Muenzel, Dominic; Critchell, Kay; Treml, Eric A.; Beger, Maria</t>
  </si>
  <si>
    <t>Designing marine reserve networks to mitigate larval dispersal volatility with the connectivity portfolio effect</t>
  </si>
  <si>
    <t>LANDSCAPE ECOLOGY</t>
  </si>
  <si>
    <t>Larval dispersal; Marine conservation planning; Coral reef; Temporal variability</t>
  </si>
  <si>
    <t>OCEAN CURRENTS; RECRUITMENT; PERSISTENCE; SHAPE</t>
  </si>
  <si>
    <t>ContextMarine reserve networks designed to enhance larval dispersal provide important biodiversity benefits. Designs are commonly based on time-averaged means of dispersal estimates. It is unclear whether they capture the connectivity portfolio effect, by which temporal variation in individual reserve performance is buffered by the entire network.ObjectivesTo evaluate the implications of dispersal variability and derive general rules for network design.MethodsWe modelled larval dispersal of four commercially important reef species for 20 years in Southeast Sulawesi, Indonesia. We built reserve network scenarios informed by temporal dispersal as either an interannual mean or dispersal for individual years. We then evaluated reserve network performance.ResultsPlectropomus leopardus and Siganus canaliculatus experienced higher variability in interannual larval flow compared to Lutjanus malabaricus and Octopus vulgaris. We discover that using a single time-averaged mean dispersal estimate can create subpar reserve networks in highly variable systems. Mean dispersal was suitable for less variable species such as O. vulgaris, but not for more variable species where high larval flow was not protected over time. By explicitly identifying reefs contributing a high amount of larval flow in each of the 20 years, we were able to improve network designs and provide a more consistent protection of larval supply over time.ConclusionsWe develop methods to improve network performance by protecting reefs with high larval flow contribution across years. The steps outlined here illustrate how information from multitemporal connectivity datasets can help inform a spatial prioritisation framework to accommodate larval dispersal volatility.</t>
  </si>
  <si>
    <t>[Muenzel, Dominic; Beger, Maria] Univ Leeds, Fac Biol Sci, Sch Biol, Leeds LS2 9JT, England; [Critchell, Kay] Deakin Univ, Sch Life &amp; Environm Sci, Geelong, Vic 3220, Australia; [Critchell, Kay] Deakin Univ, Ctr Marine Fisheries &amp; Aquaculture Sci, Geelong, Vic 3220, Australia; [Treml, Eric A.] Univ Western Australia, UWA Oceans Institute, Australian Inst Marine Sci AIMS, MO96,35 Stirling Highway, Perth, WA 6009, Australia; [Treml, Eric A.] Deakin Univ, Ctr Integrat Ecol, Sch Life &amp; Environm Sci, Geelong, Vic 3220, Australia; [Beger, Maria] Univ Queensland, Ctr Biodivers &amp; Conservat Sci, Sch Biol Sci, Brisbane, Qld 4072, Australia</t>
  </si>
  <si>
    <t>University of Leeds; Deakin University; Deakin University; University of Western Australia; Deakin University; University of Queensland</t>
  </si>
  <si>
    <t>Muenzel, D (corresponding author), Univ Leeds, Fac Biol Sci, Sch Biol, Leeds LS2 9JT, England.</t>
  </si>
  <si>
    <t>fbsdkm@leeds.ac.uk; k.critchell@deakin.edu.au; e.treml@aims.gov.au; m.beger@leeds.ac.uk</t>
  </si>
  <si>
    <t>University of Leeds School of Biology Doctoral Training Studentship; Bloomberg Philanthropies</t>
  </si>
  <si>
    <t>University of Leeds School of Biology Doctoral Training Studentship(University of Leeds); Bloomberg Philanthropies</t>
  </si>
  <si>
    <t>This work was funded by University of Leeds School of Biology Doctoral Training Studentship, Bloomberg Philanthropies.</t>
  </si>
  <si>
    <t>DEC 10</t>
  </si>
  <si>
    <t>10.1007/s10980-025-02274-y</t>
  </si>
  <si>
    <t>Ecology; Geography, Physical; Geosciences, Multidisciplinary</t>
  </si>
  <si>
    <t>Environmental Sciences &amp; Ecology; Physical Geography; Geology</t>
  </si>
  <si>
    <t>WOS:001660635200001</t>
  </si>
  <si>
    <t>Sanz-Fernández, V; Czerwinski, IA; Cabrera-Castro, R; Muñoz-Lechuga, R; Gutiérrez-Estrada, JC; Pulido-Calvo, I; Queirolo, D</t>
  </si>
  <si>
    <t>Sanz-Fernandez, Victor; Czerwinski, Ivone A.; Cabrera-Castro, Remedios; Munoz-Lechuga, Ruben; Gutierrez-Estrada, Juan Carlos; Pulido-Calvo, Inmaculada; Queirolo, Dante</t>
  </si>
  <si>
    <t>Univariate approaches for forecasting of commercial octopus (Octopus vulgaris Cuvier, 1797) landings: A comprehensive analysis of traditional time series models, machine learning algorithms and a deep learning algorithm</t>
  </si>
  <si>
    <t>Modelling fisheries; Time series; Marine resource; Artificial intelligence</t>
  </si>
  <si>
    <t>NEURAL-NETWORK; POPULATION-DYNAMICS; FISHERIES CATCHES; COMMON OCTOPUS; TRAP FISHERY; ABUNDANCE; GULF; SEA; CEPHALOPODA; MANAGEMENT</t>
  </si>
  <si>
    <t>In the Gulf of Cadiz and the Alboran Sea, the common octopus (Octopus vulgaris Cuvier, 1797) represents a key economic resource for the Andalusian artisanal fleet, which employs both small-scale fishing gear and bottom trawling techniques. Due to the biological characteristics of this species, its high environmental sensitivity, and its economic importance, it is essential to implement management strategies based on accurate projections and robust models. This study analyzes monthly commercial landing data from the Andalusian Fisheries Marketing and Production Information System (IDAPES) from 2000 to 2022, combining traditional time series models (ARIMA and ETS) with machine learning algorithms (NNAR, MLP and ELM) and a deep learning architecture (LSTM) to characterize and project the fishery's dynamics from a univariate perspective. Historically, landings have increased in both areas, with 57 % originating from the Gulf of Cadiz, where the strength of seasonality was moderate (0.4), and 43 % from the Alboran Sea, where the strength of seasonality was strong (0.7). Wavelet analysis identified variability cycles of 6 years in the Gulf of Cadiz and 7 years in the Alboran Sea. Traditional models detected trends and autoregressive patterns, while machine learning algorithms captured complex and nonlinear patterns. Regarding deep learning, the LSTM showed strong but context-dependent performance, competitive under the Alboran Sea's stable seasonality, but not superior under the Gulf of Cadiz's pulse-driven dynamics. One- and two-year projection scenarios revealed different dynamics. In the Gulf of Cadiz, ARIMA and ELM forecasted peak landings between November and January, whereas MLP indicated a progressive increase until November, the LSTM aligned with a moderate November-December peak. Consequently, the ensemble approach showed a pattern of higher landings from November to January, accompanied by a minor rise between June and August, followed by a gradual decline throughout the rest of the year. In the Alboran Sea, all models, along with their ensemble projection, indicated peak landings in June, followed by a decline towards the end of the year. This study highlights the effectiveness of combined approaches that integrate traditional statistical techniques with machine learning and deep learning to enhance fishery landing projections. These tools provide valuable insights for fishery strategic planning and contribute to the sustainability of one of the most economically significant marine resources in southern Spain.</t>
  </si>
  <si>
    <t>[Sanz-Fernandez, Victor; Queirolo, Dante] Pontificia Univ Catolica Valparaiso, Escuela Ciencias Mar, Univ 330, Valparaiso, Chile; [Czerwinski, Ivone A.; Munoz-Lechuga, Ruben] Inst Espanol Oceanog IEO CSIC, Ctr Oceanog Cadiz, Muelle Levante S-N, Cadiz 11006, Spain; [Czerwinski, Ivone A.; Cabrera-Castro, Remedios; Munoz-Lechuga, Ruben; Gutierrez-Estrada, Juan Carlos] Univ Cadiz, Fac Ciencias Mar &amp; Ambientales, Dept Biol, Campus Excelencia Int Mar CEIMAR, Avda Republ Saharaui S-N, Cadiz 11510, Spain; [Cabrera-Castro, Remedios] Inst Univ Invest Marina INMAR, Campus Excelencia Int Mar CEIMAR, Avda Republ Saharaui S-N, Cadiz 11510, Spain; [Pulido-Calvo, Inmaculada] Univ Huelva, Escuela Tecn Super Ingn, Campus El Carmen, Huelva 21007, Spain</t>
  </si>
  <si>
    <t>Pontificia Universidad Catolica de Valparaiso; Universidad de Cadiz; Universidad de Huelva</t>
  </si>
  <si>
    <t>Sanz-Fernández, V (corresponding author), Pontificia Univ Catolica Valparaiso, Escuela Ciencias Mar, Univ 330, Valparaiso, Chile.</t>
  </si>
  <si>
    <t>victor.sanz@pucv.cl; ivone.czerwinski@ieo.csic.es; reme.cabrera@gm.uca.es; rubenmlechuga@ieo.csic.es; juanc@uhu.es; ipulido@uhu.es; dante.queirolo@pucv.cl</t>
  </si>
  <si>
    <t>Instituto Espanol de Oceanografia, Consejo Superior de Investigaciones Cientificas (IEO-CSIC); European Union (EU) through the European Maritime and Fisheries Fund (EMFF)</t>
  </si>
  <si>
    <t>Instituto Espanol de Oceanografia, Consejo Superior de Investigaciones Cientificas (IEO-CSIC); European Union (EU) through the European Maritime and Fisheries Fund (EMFF)(European Union (EU)Marie Curie Actions)</t>
  </si>
  <si>
    <t>Victor Sanz-Fernandez acknowledges Maria Luisa Fernandez Martinez for her support throughout the entire course of this study. Ivone A. Czerwinski acknowledges institutional support of the EPAFIRK-BADE 2 project that is cofunded by the Instituto Espanol de Oceanografia, Consejo Superior de Investigaciones Cientificas (IEO-CSIC) and the European Union (EU) through the European Maritime and Fisheries Fund (EMFF) within the National Program of collection, management and use of data in the fisheries sector and support for scientific advice regarding the Common Fisheries Policy. Victor Sanz-Fernandez and Remedios Cabrera-Castro acknowledge all PEBICON research group (Pesca, Bio-diversidad y Conservacion de los Recursos Vivos Marinos) of the University of Cadiz (UCA) . All authors are thankful to anonymous reviews</t>
  </si>
  <si>
    <t>10.1016/j.fishres.2025.107622</t>
  </si>
  <si>
    <t>DEC 2025</t>
  </si>
  <si>
    <t>WOS:001638891000001</t>
  </si>
  <si>
    <t>Faiki, A; Chairi, H; Idrissi, MM</t>
  </si>
  <si>
    <t>Faiki, Ahmed; Chairi, Hicham; Idrissi, Mohammed Malouli</t>
  </si>
  <si>
    <t>Study of the Octopus (Octopus vulgaris) Stock Dynamics in the Moroccan Mediterranean Sea</t>
  </si>
  <si>
    <t>THALASSAS</t>
  </si>
  <si>
    <t>Octopus vulgaris; Mortality; Virtual population analysis; Predictive models; Moroccan mediterranean</t>
  </si>
  <si>
    <t>SIZE; POPULATION; PARAMETERS; FISHERY; GROWTH; STATE; HOOK</t>
  </si>
  <si>
    <t>A study of Octopus vulgaris stock dynamics in the Moroccan Mediterranean (between Fnideq and Jebha) was carried out, based on size frequency data of a sample of 14,919 specimens derived from fishing trawlers and artisanal boats over a five-year period (2015-2019) using FISAT II software. Overall, annual fishing mortality (F) ranged from 4.47 to 5.81, with values between 3.01 and 4.83 for artisanal boats and between 6.92 and 10.64 for trawlers. Natural mortality M was 1.73/year for F = 4.96/year (Rikhter and Efanov) and 1.57/year (Pauly) for F = 5.12/year. The L25%, L50%, and L75% estimated by the selectivity and cumulative frequency curves were similar for the trawlers. Recruitment was continuous throughout the year, with high peaks in March-April and lower peaks in September-October. Virtual population analysis showed that F, intense for the 6-10 cm juvenile classes, explains the high overall exploitation rate (E = 0.76). Annual biomass (B) varied from 1760 tonnes in 2018 to 2921 tonnes in 2019. The annual spawning stock biomass (SSB) rate ranged from 5.8 to 8.4% during 2015-2018 increasing to 11.4% in 2019. No significant differences in annual F and B by size class for the different terminal F used were noticed. According to both Y'/R and Y/R predictive models, Fcurrent was estimated at almost double for artisanal boats and five times for trawlers compared with Fmsy. In the absence of a comprehensive model that fully incorporates all the specific ecological and biological characteristics of the Moroccan Mediterranean common octopus, this study offers a practical and cost-effective alternative for a stock assessment.</t>
  </si>
  <si>
    <t>[Faiki, Ahmed; Chairi, Hicham] Abdelmalek Essaadi Univ, Polydisciplinary Fac Larache, Agr &amp; Aquaculture Engn Res Team ERG2A, BP 745, Tetouan 92000, Morocco; [Idrissi, Mohammed Malouli] Natl Fisheries Res Inst INRH, Reg Ctr Tangier, POB 5268, Tangier, Morocco</t>
  </si>
  <si>
    <t>Abdelmalek Essaadi University of Tetouan</t>
  </si>
  <si>
    <t>Faiki, A (corresponding author), Abdelmalek Essaadi Univ, Polydisciplinary Fac Larache, Agr &amp; Aquaculture Engn Res Team ERG2A, BP 745, Tetouan 92000, Morocco.</t>
  </si>
  <si>
    <t>ahmed.faiki@gmail.com; hchairi@uae.ac.ma; idrissi.malouli@gmail.com</t>
  </si>
  <si>
    <t>NOV 8</t>
  </si>
  <si>
    <t>10.1007/s41208-025-00967-4</t>
  </si>
  <si>
    <t>Marine &amp; Freshwater Biology; Oceanography</t>
  </si>
  <si>
    <t>WOS:001611177300003</t>
  </si>
  <si>
    <t>White, DM; Karaveti, E; Bakopoulos, V</t>
  </si>
  <si>
    <t>White, Daniella-Mari; Karaveti, Emmanouela; Bakopoulos, Vasileios</t>
  </si>
  <si>
    <t>Assessing the impact of gram-negative bacteria on the common octopus, in relation to rising sea temperature: a study of total protein concentration and hemolysis activity in hemolymph</t>
  </si>
  <si>
    <t>JOURNAL OF INVERTEBRATE PATHOLOGY</t>
  </si>
  <si>
    <t>Octopus vulgaris; Climate change; Photobacterium; Vibrio; Aquaculture infectious diseases; Cephalopods immune response</t>
  </si>
  <si>
    <t>IMMUNE-RESPONSE; PATHOGENS; SERUM; AQUACULTURE; PATHWAY; SYSTEM</t>
  </si>
  <si>
    <t>Fish farming may pose a risk to adjacent octopus farms due to pathogen transmission. Moreover, the immune defense mechanisms of cephalopods are still not fully understood. This study aimed to determine changes in total protein concentration and hemolysis activity of Octopus vulgaris hemolymph, after intramuscular (IM) or intravenous (IV) challenges with aquaculture fish pathogens (either Photobacterium damselae subsp. piscicida or damselae or Vibrio alginolyticus or anguillarum O1) at two temperatures (21 +/- 0.5 degrees C and 24 +/- 0.5 degrees C). Results showed that Octopus vulgaris exhibited a mean total protein concentration of 173.93 +/- 69.37 mg/mL across all experimental conditions, markedly exceeding values reported for other mollusks, such as the bivalves Chamelea gallina (0.75-1.66 mg/mL) and Mytilus galloprovincialis (0.59-1.60 mg/mL). Patterns of total protein concentration, related to the genera of the pathogen used for the challenges, were observed. Four-way ANOVA revealed significant main effects of bacterium (F(3, 144) = 54.360, p &lt; 0.001) and temperature (F(1, 144) = 10.014, p = 0.002) on total protein, along with multiple significant interaction effects, including bacterium x temperature, route x time, and bacterium x route x temperature x time (all p &lt; 0.001). Hemolysis remained at low levels across both experimental temperatures, challenge routes, and pathogens, not exceeding 25 % in any case. Values above 15 % and up to 20 % were recorded in specific conditions, such as Photobacterium damselae subsp. damselae at 24 +/- 0.5 degrees C on Day 3 in CIM-, IM-, and IV- control and challenged groups respectivelly; V. alginolyticus at 24 +/- 0.5 degrees C on Day 3 in IM-challenged groups; and Vibrio anguillarum O1 at 21 +/- 0.5 degrees C on Day 3 and Day 7 in IM-challenged groups. ANOVA for hemolytic activity showed significant main effects of bacterium (F(3, 144) = 22.032, p &lt; 0.001) and temperature (F(1, 144) = 4.083, p = 0.045), with multiple significant interactions, including bacterium x temperature, route x time, and bacterium x route x temperature x time (all p &lt; 0.001). These results indicate that the route of challenge may play a major role in hemolysis activity, with temperature and time post-challenge also exerting significant effects, possibly through a complex synergistic interaction. Our results may assist in elucidating common octopus defense mechanisms against common fish pathogens and provide important information to the scientific community and the marine aquaculture sector.</t>
  </si>
  <si>
    <t>[White, Daniella-Mari; Bakopoulos, Vasileios] Univ Aegean, Sch Environm, Dept Marine Sci, Univ Hill, Mitilini 81100, Greece; [Karaveti, Emmanouela] Univ Algarve, Fac Sci &amp; Technol, Gambelas Campus, P-8005139 Faro, Portugal</t>
  </si>
  <si>
    <t>University of Aegean; Universidade do Algarve</t>
  </si>
  <si>
    <t>White, DM (corresponding author), Univ Aegean, Sch Environm, Dept Marine Sci, Univ Hill, Mitilini 81100, Greece.</t>
  </si>
  <si>
    <t>dwhite@marine.aegean.gr</t>
  </si>
  <si>
    <t>European Union (European Social Fund-ESF) [MIS 5004276]</t>
  </si>
  <si>
    <t>European Union (European Social Fund-ESF)(European Union (EU)European Social Fund (ESF))</t>
  </si>
  <si>
    <t>The four fish pathogenic bacterial species used in the experiments were isolated from diseased sea bass (Dicentrarchus labrax) or gilthead sea bream (Sparus aurata), kind donations from Dr. Kantham Papanna, Nireus Aquaculture S.A., Dr. Ogut Hamdi (Uzun and Ogut, 2015), Dr. Pantelis Katharios, Dr. Kantham Papanna (Nireus Aquaculture S.A.) Phdp/Phdd, VA/VA O1 respectively and according to White et al., (2022; 2023). This research is co-financed by Greece and the European Union (European Social Fund-ESF) through the Operational Programme Human Resources Development, Education and Lifelong Learning 2014-2020 in the context of the project Effect of climate change on the infectiousness of pathogenic microorganisms and the physiology of sensitive host aquatic organisms (MIS 5004276)..</t>
  </si>
  <si>
    <t>FEB</t>
  </si>
  <si>
    <t>10.1016/j.jip.2025.108480</t>
  </si>
  <si>
    <t>NOV 2025</t>
  </si>
  <si>
    <t>Zoology</t>
  </si>
  <si>
    <t>WOS:001613724800002</t>
  </si>
  <si>
    <t>DEC</t>
  </si>
  <si>
    <t>Prego, R; Cobelo-García, A; Trigo, M; Calvo, S; Aubourg, SP</t>
  </si>
  <si>
    <t>Prego, Ricardo; Cobelo-Garcia, Antonio; Trigo, Marcos; Calvo, Susana; Aubourg, Santiago P.</t>
  </si>
  <si>
    <t>Sustainable Recovery of Valuable Constituents from Octopus (Octopus vulgaris) Cooking Liquor</t>
  </si>
  <si>
    <t>SUSTAINABILITY</t>
  </si>
  <si>
    <t>cephalopod processing; wastewater; filtration; proximate composition; fatty acid profile; macroelements; microelements; TVB-N value; valorisation; sustainability</t>
  </si>
  <si>
    <t>ELEMENTAL COMPOSITION; ANAEROBIC TREATMENT; WASTE-WATER; FATTY-ACIDS; BY-PRODUCTS; FISH; PHOSPHOLIPIDS; ABSORPTION; SHELLFISH; FILTER</t>
  </si>
  <si>
    <t>Cooking liquor (CL) from marine species processing has been reported to include a wide range of valuable constituents. In this study, the chemical composition of CL from octopus (Octopus vulgaris) processing, with and without a filtration process, was analysed. Regarding non-filtered CL, values of 15.30, 0.29, 8.85 and 174.53 gL-1 CL for protein, lipids, ash, and total volatile base-nitrogen (TVB-N), respectively, were detected. The most abundant fatty acids (FAs) (g100 g-1 total FAs) were C16:0 (37.8), C18:0 (20.8), and C22:6 omega 3 (13.4). Values of 0.40 and 2.10 were obtained for polyunsaturated FA/saturated FA and omega 3 FA/omega 6 FA ratios. Macroelement content varied from 0.036 (Ca) to 1.81 (Na) gL-1 CL. For microelements, values ranged between 0.0015 (Co) and 1.95 (As) mgL-1 CL. Industrial filtration of CL led to decreased values of protein, lipid, ash, TVB-N, and C22:5 omega 3; in contrast, an increased presence of C14:0, C18:1 omega 9, C20:1 omega 9, and C22:1 omega 9 was detected. Filtration led to a ca. 50% decrease in macroelement presence. For microelements, this process led to losses of 20-40% (Ba, Pb), 40-60% (As, Fe, Mn), 60-70% (Co, Zn), and 84% (Cd). This study provides a first comprehensive characterisation of octopus cooking liquor as a potential source of bioactive compounds.</t>
  </si>
  <si>
    <t>[Prego, Ricardo; Cobelo-Garcia, Antonio; Calvo, Susana] Marine Res Inst CSIC, Dept Oceanog, C-E Cabello 6, Vigo 36208, Spain; [Trigo, Marcos; Aubourg, Santiago P.] Marine Res Inst CSIC, Dept Food Technol, C-E Cabello 6, Vigo 36208, Spain</t>
  </si>
  <si>
    <t>Prego, R (corresponding author), Marine Res Inst CSIC, Dept Oceanog, C-E Cabello 6, Vigo 36208, Spain.;Aubourg, SP (corresponding author), Marine Res Inst CSIC, Dept Food Technol, C-E Cabello 6, Vigo 36208, Spain.</t>
  </si>
  <si>
    <t>prego@iim.csic.es; saubourg@iim.csic.es</t>
  </si>
  <si>
    <t>Spanish Ministry of Research and Innovation [PID2023-146042OB-C21]</t>
  </si>
  <si>
    <t>Spanish Ministry of Research and Innovation(Spanish Government)</t>
  </si>
  <si>
    <t>This research was funded by the Spanish Ministry of Research and Innovation, grant number PID2023-146042OB-C21 (2024-2027).</t>
  </si>
  <si>
    <t>OCT 22</t>
  </si>
  <si>
    <t>10.3390/su17219391</t>
  </si>
  <si>
    <t>Green &amp; Sustainable Science &amp; Technology; Environmental Sciences; Environmental Studies</t>
  </si>
  <si>
    <t>Science &amp; Technology - Other Topics; Environmental Sciences &amp; Ecology</t>
  </si>
  <si>
    <t>WOS:001613125100001</t>
  </si>
  <si>
    <t>Kobayashi, Y; Yamamoto, M</t>
  </si>
  <si>
    <t>Kobayashi, Yasuhisa; Yamamoto, Masayuki</t>
  </si>
  <si>
    <t>Reproductive biology of female East Asian common octopus (Octopus sinensis): oocyte development, maturity staging, and follicular structure morphometry</t>
  </si>
  <si>
    <t>FISHERIES SCIENCE</t>
  </si>
  <si>
    <t>Cephalopoda; Follicular structure; Gonadal maturation; Octopus; Oogenesis</t>
  </si>
  <si>
    <t>HUBBSORUM CEPHALOPODA OCTOPODIDAE; FATTY-ACID-COMPOSITION; VULGARIS CUVIER; MOLLUSCA-CEPHALOPODA; SEXUAL-MATURATION; GONAD DEVELOPMENT; GALICIAN WATERS; REARING SYSTEM; GROWTH; CYCLE</t>
  </si>
  <si>
    <t>The first comprehensive histological characterization was conducted of ovarian development in East Asian common octopus (Octopus sinensis) off Kagawa prefecture, Seto Inland Sea, Japan. Female specimens (n = 48) were examined to elucidate oocyte developmental stages and to establish a species-specific maturity scale. On the basis of histological observations, oocyte development was classified into eight stages: oogonia, primary follicular oocytes, secondary follicular oocytes, previtellogenic oocytes, vitellogenic oocytes, advanced vitellogenic oocytes, mature oocytes, and ovulated oocytes. Female maturity was categorized into four stages on the basis of predominant oocyte types and macroscopic characteristics of the ovary. Statistical analyses found significant differences in body weight and reproductive system index (RSI) among maturity stages. Morphometric analysis of outer follicular structures found significant changes in structure area during oocyte development, with maximum size observed during the advanced vitellogenic stage. It is noteworthy that 23.8% of immature females had sperm stored in oviductal glands, indicating that mating can occur before females reach full maturity. This represents a distinctive reproductive characteristic not previously documented in detail for this species. This study establishes essential baseline information related to the reproductive biology of O. sinensis for resource management and aquaculture development in the Seto Inland sea region.</t>
  </si>
  <si>
    <t>[Kobayashi, Yasuhisa] Kindai Univ, Dept Fisheries, Lab Aquat Biol, Fac Agr, Nakamachi 3327-204, Nara 6310052, Japan; [Yamamoto, Masayuki] Kagawa Prefectural Fisheries Expt Stn, Takamatsu, Japan; [Yamamoto, Masayuki] Fukui Prefectural Univ, Fac Marine Sci &amp; Technol, Obama, Japan</t>
  </si>
  <si>
    <t>Fukui Prefectural University</t>
  </si>
  <si>
    <t>Kobayashi, Y (corresponding author), Kindai Univ, Dept Fisheries, Lab Aquat Biol, Fac Agr, Nakamachi 3327-204, Nara 6310052, Japan.</t>
  </si>
  <si>
    <t>yasuhisa@nara.kindai.ac.jp; myama@fpu.ac.jp</t>
  </si>
  <si>
    <t>Japan Society for the Promotion of Science</t>
  </si>
  <si>
    <t>Japan Society for the Promotion of Science(Ministry of Education, Culture, Sports, Science and Technology, Japan (MEXT)Japan Society for the Promotion of Science)</t>
  </si>
  <si>
    <t>We would like to express our sincere thanks to the fishers of the Chusan Fisheries Cooperative Association and the staff of the Kagawa Prefectural Fisheries Experimental Station for their assistance with sampling.</t>
  </si>
  <si>
    <t>10.1007/s12562-025-01924-z</t>
  </si>
  <si>
    <t>SEP 2025</t>
  </si>
  <si>
    <t>WOS:001584116500001</t>
  </si>
  <si>
    <t>Rodrigues, NM; Fonseca, VF; Mamede, R; Tanner, SE; Duarte, B; Silva, S</t>
  </si>
  <si>
    <t>Rodrigues, Nuno M.; Fonseca, Vanessa F.; Mamede, Renato; Tanner, Susanne E.; Duarte, Bernardo; Silva, Sara</t>
  </si>
  <si>
    <t>Integrating elemental and total reflection X-ray spectral fingerprints with machine learning for advanced seafood traceability</t>
  </si>
  <si>
    <t>Common octopus; Origin traceability; Elemental fingerprints; Spectral data; Machine learning</t>
  </si>
  <si>
    <t>OCTOPUS-VULGARIS; GEOGRAPHICAL ORIGIN; STABLE-ISOTOPE; CLASSIFICATION; FOOD; XRF</t>
  </si>
  <si>
    <t>The increased consumption and demand for seafood have led to increases in food fraud and seafood traceability regulations to ensure sustainable marine resources and food safety. Cephalopods are valuable commercial seafood resources that are highly susceptible to mislabelling. The common octopus Octopus vulgaris has a high market value in southern Europe, including Portugal. We collected 450 O. vulgaris individuals from three sampling events and five fishing areas along the Portuguese Atlantic coast to assess edible muscle tissue elemental fingerprints and spectral data as inputs for machine learning models for provenance assessment. We trained several machine learning models on multitemporal data, showing trade-offs between performance and interpretability. The analysis revealed clear distribution shifts between seasons, which are likely associated with the complex life cycle of the species. It is evident that the performance of the models varied significantly depending on the seasonal data utilized. Models trained with data from October and September, as well as their combination (Autumn), significantly outperformed those trained with April data. This variation was attributed to the complex life cycle of the species under study. This trend persisted regardless of the data type employed, whether elemental fingerprinting or spectral analysis, although elemental signature data generally yielded statistically superior results across most models. Notably, both October and September, which are similar seasons, exhibited a slight preference for spectral data. Conversely, both the combination (Autumn) and April demonstrated a clear preference for elemental fingerprint data. In terms of the overall model performance, boosted trees emerged as the top performers. Overall, irrespective of the season, boosted tree models consistently ranked as the top-performing methods, although they were not statistically significantly superior in most instances. Upon analysing the results, it is apparent that the majority of observations made for the cross-validation data remain valid. April data continue to produce the least effective results, with fingerprint and spectral data differing by only 0.02%. The season yielding the best-performing model was September, with the full fingerprint Random Forests achieving an F1 score of 73%. The developed models achieved very good predictive performance with high generalization capability, and the analysis of feature importance using Shapley Additive Explanations (SHAP) showed that model decisions can be biologically validated, with As being a key element in all sampling moments for the differentiation of animal capture areas.</t>
  </si>
  <si>
    <t>[Rodrigues, Nuno M.; Silva, Sara] Univ Lisbon, Fac Ciencias, Dept Informat, LASIGE, P-1749016 Lisbon, Portugal; [Fonseca, Vanessa F.; Tanner, Susanne E.; Duarte, Bernardo] Univ Lisbon, Fac Sci, Marine &amp; Environm Sci Ctr, P-1749016 Lisbon, Portugal; [Fonseca, Vanessa F.; Tanner, Susanne E.; Duarte, Bernardo] Univ Lisbon, Fac Sci, ARNET Aquat Res Infrastruct Network Associated Lab, P-1749016 Lisbon, Portugal; [Fonseca, Vanessa F.; Tanner, Susanne E.] Univ Lisbon, Fac Sci, Dept Anim Biol, P-1749016 Lisbon, Portugal; [Mamede, Renato] Univ Aveiro, CESAM Ctr Environm &amp; Marine Studies, Dept Biol, ECOMARE, Santiago Univ Campus, P-3810193 Aveiro, Portugal; [Duarte, Bernardo] Univ Lisbon, Fac Sci, Plant Biol Dept, P-1749016 Lisbon, Portugal</t>
  </si>
  <si>
    <t>Universidade de Lisboa; Universidade de Lisboa; Universidade de Lisboa; Universidade de Lisboa; Universidade de Aveiro; Universidade de Lisboa</t>
  </si>
  <si>
    <t>Rodrigues, NM (corresponding author), Univ Lisbon, Fac Ciencias, Dept Informat, LASIGE, P-1749016 Lisbon, Portugal.</t>
  </si>
  <si>
    <t>nmrodrigues@fc.ul.pt</t>
  </si>
  <si>
    <t>Fundacao para a Ciencia e a Tecnologia (FCT), Portugal [UID/00408/2023]</t>
  </si>
  <si>
    <t>Fundacao para a Ciencia e a Tecnologia (FCT), Portugal(Fundacao para a Ciencia e a Tecnologia (FCT))</t>
  </si>
  <si>
    <t>The authors would like to thank Fundacao para a Ciencia e a Tecnologia (FCT), Portugal for funding MARE (Marine and Environmental Sciences Centre, http://doi.org/10.54499/UIDB/04292/2020 and htt p://doi.org/10.54499/UIDP/04292/2020) , ARNET (Aquatic Research Network Associated Laboratory, http://doi.org/10.54499/LA/P/0069/2020) and LASIGE (UID/00408/2023) . Nuno M. Rodrigues was supported by PhD Grant 10.54499/2021.05322.BD (https://doi.org/10.54 499/2021.05322.BD) .</t>
  </si>
  <si>
    <t>10.1016/j.foodcont.2025.111682</t>
  </si>
  <si>
    <t>WOS:001586860500001</t>
  </si>
  <si>
    <t>Biochemistry &amp; Molecular Biology; Chemistry, Multidisciplinary</t>
  </si>
  <si>
    <t>Biochemistry &amp; Molecular Biology; Chemistry</t>
  </si>
  <si>
    <t>Bennice, CO; Buresch, KC; Grossman, JH; Morano, TD; Hanlon, RT</t>
  </si>
  <si>
    <t>Bennice, Chelsea O.; Buresch, Kendra C.; Grossman, Jennifer H.; Morano, Tylar D.; Hanlon, Roger T.</t>
  </si>
  <si>
    <t>Octopus arm flexibility facilitates complex behaviors in diverse natural environments</t>
  </si>
  <si>
    <t>Cephalopods; Behavioral ecology; Muscular hydrostats; Octopus vulgaris; Soft robotics</t>
  </si>
  <si>
    <t>MOTOR CONTROL; VULGARIS; SYSTEM; MORPHOLOGY; MOVEMENTS; MIMICRY</t>
  </si>
  <si>
    <t>Octopus arms are among the most flexible of biological structures, yet the full range of arm flexibility has not been investigated in detail, for example in varied benthic marine habitats where structural complexity far exceeds that of lab trials. This field study quantified arm flexibility with a hierarchical analysis of octopus behaviors, arm actions, and arm deformations used throughout diverse natural habitats. Twenty-five videos of naturally behaving octopuses were analyzed from 5 Caribbean sites and 1 site in Spain. Octopus behaviors were delineated into 12 arm actions, consisting of 4 possible arm deformations (shorten, elongate, bend, or torsion). Overall, 3,907 arm action occurrences demonstrated that all arms could execute each action. Anterior arms performed more actions than posterior arms, while there were no differences between left and right arms. Furthermore, 6,871 arm deformation occurrences indicated that all 4 arm deformations were used across all actions; however, the frequencies of these deformations varied by arm region (proximal, medial, distal). The combination of deformations and arm actions implemented to achieve complex behaviors illustrates extreme arm flexibility and coordination during a wide range of arm functions. Such demonstrations of flexibility may help inform ethologists, sensory ecologists, neuroscientists, and engineers designing soft robotic appendages.</t>
  </si>
  <si>
    <t>[Bennice, Chelsea O.] Florida Atlantic Univ, Marine Sci Lab, Boca Raton, FL 33431 USA; [Buresch, Kendra C.; Grossman, Jennifer H.; Morano, Tylar D.; Hanlon, Roger T.] Marine Biol Lab, Woods Hole, MA USA</t>
  </si>
  <si>
    <t>State University System of Florida; Florida Atlantic University; Marine Biological Laboratory - Woods Hole</t>
  </si>
  <si>
    <t>Bennice, CO (corresponding author), Florida Atlantic Univ, Marine Sci Lab, Boca Raton, FL 33431 USA.</t>
  </si>
  <si>
    <t>cbennice@fau.edu</t>
  </si>
  <si>
    <t>Office of Naval Research; Florida Atlantic University Scientific Diving and Boating program; Sholley Foundation; Ben-Veniste Family Foundation [N000142212208]; Office of Naval Research Grant</t>
  </si>
  <si>
    <t>Office of Naval Research(United States Department of DefenseUnited States NavyOffice of Naval Research); Florida Atlantic University Scientific Diving and Boating program; Sholley Foundation(ACEV Foundation); Ben-Veniste Family Foundation; Office of Naval Research Grant(United States Department of DefenseUnited States NavyOffice of Naval Research)</t>
  </si>
  <si>
    <t>Ava Agharabi produced all scientific illustrations for the ethogram and the figure insets in this paper. COB and RTH thank the Florida Atlantic University Scientific Diving and Boating program and all the scientific divers who assisted with video data collection. Partial support was provided by the Sholley Foundation and the Ben-Veniste Family Foundation. We gratefully acknowledge funding from Office of Naval Research Grant N000142212208.</t>
  </si>
  <si>
    <t>SEP 11</t>
  </si>
  <si>
    <t>10.1038/s41598-025-10674-y</t>
  </si>
  <si>
    <t>WOS:001570809600007</t>
  </si>
  <si>
    <t>White, DM; Anastasiadou, E; Valsamidis, MA; Bakopoulos, V</t>
  </si>
  <si>
    <t>White, Daniella-Mari; Anastasiadou, Eleni; Valsamidis, Michail-Aggelos; Bakopoulos, Vasileios</t>
  </si>
  <si>
    <t>Lysozyme Activity in the Hemolymph of Octopus vulgaris (Cuvier, 1797) Following Challenge with Gram-Negative Bacteria: Insights into Temperature-Driven Innate Immune Response</t>
  </si>
  <si>
    <t>FISHES</t>
  </si>
  <si>
    <t>common octopus; cell-free hemolymph; cephalopods immunity response; aquaculture pathogens; climate change impacts</t>
  </si>
  <si>
    <t>DIETARY VITAMIN-C; COMMON OCTOPUS; GROWTH; PARAMETERS; PERFORMANCE; MOLLUSCA; IMPROVE; SYSTEM</t>
  </si>
  <si>
    <t>As aquaculture expands globally, understanding immune responses in non-traditional farmed species like Octopus vulgaris under varying environmental conditions is increasingly important. This study investigated lysozyme activity, a key innate immune marker, in cell-free hemolymph of O. vulgaris following experimental challenge with four Gram-negative fish pathogens (Photobacterium damselae subsp. piscicida, P. damselae subsp. damselae, Vibrio alginolyticus, and V. anguillarum O1) at two temperatures (21 +/- 0.5 degrees C and 24 +/- 0.5 degrees C). These pathogens were selected because octopus farming frequently occurs near fish aquaculture facilities, raising the potential for pathogen crossover. A total of 216 wild octopuses were injected intramuscularly or intravenously and sampled on days 0, 3, and 7 post-challenge. Lysozyme activity varied by pathogen, injection route, sampling time, and temperature. A significant time- and temperature-dependent increase was observed, especially in IM-challenged groups exposed to Photobacterium species. Elevated temperatures supported a more prolonged immune response. These results highlight lysozyme as a responsive biomarker of innate immunity in O. vulgaris and emphasize the role of environmental factors in immune modulation. This work provides a foundation for disease monitoring and health management in cephalopod aquaculture. Future research should examine long-term lysozyme dynamics, broader pathogen exposure, molecular mechanisms, and additional environmental stressors such as salinity and pollution.</t>
  </si>
  <si>
    <t>[White, Daniella-Mari; Anastasiadou, Eleni; Valsamidis, Michail-Aggelos; Bakopoulos, Vasileios] Univ Aegean, Sch Environm, Dept Marine Sci, Univ Hill, Mitilini 81100, Lesvos, Greece</t>
  </si>
  <si>
    <t>University of Aegean</t>
  </si>
  <si>
    <t>White, DM; Bakopoulos, V (corresponding author), Univ Aegean, Sch Environm, Dept Marine Sci, Univ Hill, Mitilini 81100, Lesvos, Greece.</t>
  </si>
  <si>
    <t>dwhite@aegean.gr; el_anast@hotmail.com; mard16008@marine.aegean.gr; v.bakopoulos@aegean.gr</t>
  </si>
  <si>
    <t>Greece and the European Union (European Social Fund-ESF) [MIS 5004276]; European Union (European Social Fund-ESF) through the Operational Programme &lt;&lt; Human Resources Development</t>
  </si>
  <si>
    <t>Greece and the European Union (European Social Fund-ESF); European Union (European Social Fund-ESF) through the Operational Programme &lt;&lt; Human Resources Development</t>
  </si>
  <si>
    <t>This research is co-financed by Greece and the European Union (European Social Fund-ESF) through the Operational Programme &lt;&lt; Human Resources Development, Education and Lifelong Learning 2014-2020 &gt;&gt; in the context of the project Effect of climate change on the infectiousness of pathogenic microorganisms and the physiology of sensitive host aquatic organisms (MIS 5004276).</t>
  </si>
  <si>
    <t>SEP 1</t>
  </si>
  <si>
    <t>10.3390/fishes10090428</t>
  </si>
  <si>
    <t>Fisheries; Marine &amp; Freshwater Biology</t>
  </si>
  <si>
    <t>WOS:001580857500001</t>
  </si>
  <si>
    <t>Martin, MV; Hachero-Cruzado, I; Navarro, JC; Lago, MJ; Almansa, E; Gestal, C; Varó, I</t>
  </si>
  <si>
    <t>Martin, M. Virginia; Hachero-Cruzado, Ismael; Navarro, Juan Carlos; Lago, M. Jesus; Almansa, Eduardo; Gestal, Camino; Varo, Inmaculada</t>
  </si>
  <si>
    <t>Effect of natural bioactive compounds on growth and welfare in Octopus vulgaris paralarvae</t>
  </si>
  <si>
    <t>FRONTIERS IN MARINE SCIENCE</t>
  </si>
  <si>
    <t>O. vulgaris; paralarvae; bioactive compounds; stress biomarkers; lipids</t>
  </si>
  <si>
    <t>GLUTATHIONE-S-TRANSFERASES; NIGELLA-SATIVA; RAINBOW-TROUT; OLIVE OIL; ARTEMIA METANAUPLII; LIPID-PEROXIDATION; OXIDATIVE STRESS; HYDROXYTYROSOL; THYMOQUINONE; ACCUMULATION</t>
  </si>
  <si>
    <t>The aquaculture of Octopus vulgaris is gaining interest due to its high demand, rapid growth, and nutritional value. However, significant challenges remain, particularly in rearing paralarvae to juveniles, mainly due to their specific nutritional needs. This study evaluates the impact of two bioactive compounds- Hytolive (R) syrup (natural olive fruit extract rich in hydroxytyrosol) and black cumin seed oil (rich in thymoquinone)- using Artemia as a vector, on growth performance, fatty acid profiles, antioxidant responses and lipid peroxidation in O. vulgaris paralarvae from 0 to 30 days post-hatch (dph). Paralarvae were fed one of three diets: control diet (Artemia metanauplii enriched with marine lecithin, CON), control diet supplemented with 10% of Hytolive (R) syrup (HYT), or control diet supplemented with 30% black cumin seed oil (BCO), with three replicates per treatment. While no significant differences were observed in specific growth rates (SGR) or survival, the HYT and BCO groups exhibited reduced lipid peroxidation at 30 dph, indicating enhanced antioxidant defenses. Additionally, bioactive supplementations altered fatty acid profiles, increasing polyunsaturated fatty acids compared to the control. Although enzymatic antioxidant responses such as catalase (CAT) and superoxide dismutase (SOD) were unaffected, glutathione S-transferase (GST) activity significantly decreased in the BCO group, suggesting a reduced need for detoxification due to lower oxidative stress. This study is the first to demonstrate the transfer of hydroxytyrosol and thymoquinone metabolites from Artemia to O. vulgaris paralarvae and their potential to mitigate oxidative stress. These findings highlight the potential benefits of bioactive-enriched diets in octopus aquaculture and their protective effects during early development. Future research should explore optimal dosages and synergies between bioactive compounds to enhance the immune system and overall health of this species.</t>
  </si>
  <si>
    <t>[Martin, M. Virginia; Lago, M. Jesus; Almansa, Eduardo] CSIC, Inst Espanol Oceanog, Ctr Oceanog Canarias, Santa Cruz De Tenerife, Spain; [Hachero-Cruzado, Ismael] CSIC, Inst Espanol Oceanog, Ctr Oceanog Vigo, Vigo, Spain; [Hachero-Cruzado, Ismael] IFAPA El Toruno, Junta De Andalucia, El Puerto De Santa Maria, Cadiz, Spain; [Navarro, Juan Carlos; Varo, Inmaculada] Inst Acuicultura Torre Sal IATS CSIC, Ribera De Cabanes, Castellon, Spain; [Gestal, Camino] Inst Invest Marinas IIM CSIC, Vigo, Spain</t>
  </si>
  <si>
    <t>Consejo Superior de Investigaciones Cientificas (CSIC); Spanish Institute of Oceanography; Consejo Superior de Investigaciones Cientificas (CSIC); Spanish Institute of Oceanography; Consejo Superior de Investigaciones Cientificas (CSIC); CSIC - Instituto de Acuicultura de Torre de la Sal (IATS); Consejo Superior de Investigaciones Cientificas (CSIC); CSIC - Instituto de Investigaciones Marinas (IIM)</t>
  </si>
  <si>
    <t>Martin, MV (corresponding author), CSIC, Inst Espanol Oceanog, Ctr Oceanog Canarias, Santa Cruz De Tenerife, Spain.;Varó, I (corresponding author), Inst Acuicultura Torre Sal IATS CSIC, Ribera De Cabanes, Castellon, Spain.</t>
  </si>
  <si>
    <t>virginia.martin@ieo.csic.es; inma@iats.csic.es</t>
  </si>
  <si>
    <t>OCTOMICS Project - Spanish Ministerio de Ciencia e Innovacion [AGL-2017-89475-C2]; ERDF A way of making Europe; Programme THINKINAZUL - Spanish Ministerio de Ciencia e Innovacion; European Union NextGenerationEU [PRTR-C17.I1]; Gobierno de Canarias [SD2218/6897]</t>
  </si>
  <si>
    <t>OCTOMICS Project - Spanish Ministerio de Ciencia e Innovacion; ERDF A way of making Europe; Programme THINKINAZUL - Spanish Ministerio de Ciencia e Innovacion; European Union NextGenerationEU(European Union (EU)); Gobierno de Canarias</t>
  </si>
  <si>
    <t>The author(s) declare financial support was received for the research and/or publication of this article. This study was supported by OCTOMICS Project (AGL-2017-89475-C2) funded by the Spanish Ministerio de Ciencia e Innovacion, and by ERDF A way of making Europe. This study was also funded by the programme THINKINAZUL, supported by the Spanish Ministerio de Ciencia e Innovacion with funding from European Union NextGenerationEU (PRTR-C17.I1) and Gobierno de Canarias (SD2218/6897). We acknowledge support of the publication fee by the CSIC Open Access Publication Support Initiative (PROA) through its Unit of Information Resources for Research (URICI).</t>
  </si>
  <si>
    <t>10.3389/fmars.2025.1629293</t>
  </si>
  <si>
    <t>Environmental Sciences; Marine &amp; Freshwater Biology; Oceanography</t>
  </si>
  <si>
    <t>Environmental Sciences &amp; Ecology; Marine &amp; Freshwater Biology; Oceanography</t>
  </si>
  <si>
    <t>WOS:001571072900001</t>
  </si>
  <si>
    <t>Domingues, P; Pascual, C; Cruz-López, H; Rosas, C; Sotelo, A; Gallardo, P</t>
  </si>
  <si>
    <t>Domingues, Pedro; Pascual, Cristina; Cruz-Lopez, Honorio; Rosas, Carlos; Sotelo, Aitor; Gallardo, Pedro</t>
  </si>
  <si>
    <t>Changes in enzymatic activity and nutritional reserves of cultured paralarvae of Octopus vulgaris associated with the type of food</t>
  </si>
  <si>
    <t>AQUACULTURE INTERNATIONAL</t>
  </si>
  <si>
    <t>Ontogeny changes; Digestive system; Microparticulate diet; Enzymatic activity</t>
  </si>
  <si>
    <t>DIGESTIVE ENZYMES; GROWTH; MAYA; DIET; SURVIVAL; IDENTIFICATION; CEPHALOPODA; ORGANS; CUVIER</t>
  </si>
  <si>
    <t>In this study, changes associated with the type of food in enzymatic activity and nutrient reserve contents during the first 27 days post-hatching of cultured paralarvae of the common octopus Octopus vulgaris were evaluated. The specific activities of lipases, acid and alkaline protease, along with glucose, cholesterol, triglycerides, and soluble protein concentrations, were evaluated every 3 days after hatching (DAH) in paralarvae, which were fed two types of diets: Artemia alone and the combination of Artemia with a microparticulate diet (AMD) formulated from freeze-dried squid muscle and crab meat. The results show peaks of activity of the evaluated enzymes at 6 and 24 DAH, with significantly higher values in paralarvae fed the combination of Artemia and microparticulate diet. In general, higher nutritional reserves were observed in paralarvae fed with AMD, especially in the soluble protein content at 3 and 18 DAH. The results obtained show that changes in digestive activity and nutritional reserves may be associated with the type of food and the maturation process of the digestive system, as has been demonstrated in paralarvae of this octopus species, and provide useful information for the development of specific diets during this phase of development.</t>
  </si>
  <si>
    <t>[Domingues, Pedro; Sotelo, Aitor] Inst Espanol Oceanog, Ctr Oceanog Vigo, Vigo, Spain; [Pascual, Cristina; Cruz-Lopez, Honorio; Rosas, Carlos; Gallardo, Pedro] Univ Nacl Autonoma Mexico, Unidad Multidisciplinaria Docencia &amp; Invest, Sisal, Yucatan, Mexico</t>
  </si>
  <si>
    <t>Spanish Institute of Oceanography; Universidad Nacional Autonoma de Mexico</t>
  </si>
  <si>
    <t>Gallardo, P (corresponding author), Univ Nacl Autonoma Mexico, Unidad Multidisciplinaria Docencia &amp; Invest, Sisal, Yucatan, Mexico.</t>
  </si>
  <si>
    <t>ppge@ciencias.unam.mx</t>
  </si>
  <si>
    <t>NEWSPEC internal project</t>
  </si>
  <si>
    <t>This study was funded by the NEWSPEC internal project to Pedro Domingues and the Programa de Apoyo para la Superacion del Personal Academico (PASPA, DGAPA-UNAM) for a sabbatical stay for Pedro Gallardo and Cristina Pascual.</t>
  </si>
  <si>
    <t>AUG 20</t>
  </si>
  <si>
    <t>10.1007/s10499-025-02194-3</t>
  </si>
  <si>
    <t>WOS:001552801100001</t>
  </si>
  <si>
    <t>Yamamoto, M; Fujiwara, M; Takasago, K; Akai, N; Ryuman, N</t>
  </si>
  <si>
    <t>Yamamoto, Masayuki; Fujiwara, Munehiro; Takasago, Kei; Akai, Noriko; Ryuman, Naoki</t>
  </si>
  <si>
    <t>Temperature-Driven Changes in Spawning Characteristics of the East Asian Common Octopus Octopus sinensis in the Central Seto Inland Sea, Japan</t>
  </si>
  <si>
    <t>FISHERIES OCEANOGRAPHY</t>
  </si>
  <si>
    <t>global warming; octopus; somatic condition; spawning season</t>
  </si>
  <si>
    <t>CLIMATE-CHANGE; REPRODUCTIVE-BIOLOGY; CEPHALOPODA OCTOPODIDAE; VULGARIS MOLLUSCA; CYCLE; FISHERIES; COAST; GULF; FISH; HYPOXIA</t>
  </si>
  <si>
    <t>The East Asian common octopus Octopus sinensis is distributed in the coastal waters of East Asia and can grow to around 2 kg in 12-18 months. This species is semelparous, and its spawning season is highly variable and depends on the water temperature, which has increased in the Seto Inland Sea, western Japan. To investigate the impact of this temperature increase on the reproductive characteristics of O. sinensis, we collected 3387 and 757 samples using small trawls in 1999-2001 and in 2019-2021, respectively, and compared the body condition of all samples and the occurrence of final maturation stage females between the two sampling periods. Paralarval abundance was also compared using samples collected with a plankton net. The relative condition factor indicated that individuals were in a worse growth condition in 2019-2021. The mean mantle length of final maturation stage females was significantly larger in 2019-2021; however, there was no significant difference in body weight between the sampling periods. Seasonal changes in the gonadosomatic index of females and the occurrence of final maturation stage females between the sampling periods indicate that the proportion of final maturation stage females peaked in September during 1999-2001 but shifted to spring and late autumn in 2019-2021. Paralarval densities in October were more than 10 times higher in 1999-2001 than in 2019-2021, which may be related to the body condition and changes in the spawning season due to increasing water temperatures.</t>
  </si>
  <si>
    <t>[Yamamoto, Masayuki; Fujiwara, Munehiro; Takasago, Kei; Akai, Noriko; Ryuman, Naoki] Kagawa Prefectural Fisheries Expt Stn, Takamatsu, Japan; [Yamamoto, Masayuki] Fukui Prefectural Univ, Fac Marine Sci &amp; Technol, Obama, Japan; [Fujiwara, Munehiro; Akai, Noriko; Ryuman, Naoki] Kagawa Prefectural Govt, Fisheries Div, Takamatsu, Japan</t>
  </si>
  <si>
    <t>Yamamoto, M (corresponding author), Kagawa Prefectural Fisheries Expt Stn, Takamatsu, Japan.;Yamamoto, M (corresponding author), Fukui Prefectural Univ, Fac Marine Sci &amp; Technol, Obama, Japan.</t>
  </si>
  <si>
    <t>myama@fpu.ac.jp</t>
  </si>
  <si>
    <t>Kagawa Prefectural Government</t>
  </si>
  <si>
    <t>We thank the fishers of the Chusan Fisheries Cooperative Association, the crews of the R/V Yakuri, and the staff of the Kagawa Prefectural Fisheries Experimental Station for their assistance with sampling and collection of the data. We would like to express our sincere thanks to the three reviewers for their useful comments. This work was financially supported by the Kagawa Prefectural Government. English proofreading was done by Japan Scientific Texts.</t>
  </si>
  <si>
    <t>10.1111/fog.70007</t>
  </si>
  <si>
    <t>AUG 2025</t>
  </si>
  <si>
    <t>Fisheries; Oceanography</t>
  </si>
  <si>
    <t>WOS:001547825400001</t>
  </si>
  <si>
    <t>Rey, F; Gaspar, L; Ricardo, F; Pita, C; Domingues, MD; Calado, R</t>
  </si>
  <si>
    <t>Rey, Felisa; Gaspar, Luis; Ricardo, Fernando; Pita, Cristina; do Rosario Domingues, Maria; Calado, Ricardo</t>
  </si>
  <si>
    <t>Lipidomic signatures in Octopus vulgaris arm muscle reveal geographic variation along the Iberian Atlantic Coast</t>
  </si>
  <si>
    <t>NPJ SCIENCE OF FOOD</t>
  </si>
  <si>
    <t>FATTY-ACIDS; TRAP FISHERY; NW SPAIN; MUSSELS; ORIGIN; AROUSA; RIA; PHOSPHOLIPIDS; TRACEABILITY; POPULATIONS</t>
  </si>
  <si>
    <t>The common octopus (Octopus vulgaris) is a highly valued seafood species, whose flavour and palatability are often linked to its geographic origin. However, globalized supply chains have increased the risk of mislabelling. Lipid metabolism in marine organisms is shaped by environmental conditions, then lipidomics offers a promising tool for origin authentication. This study used HILIC-LC-MS&amp;MS/MS to profile the polar lipidome of O. vulgaris arm muscle from three Iberian Atlantic landing sites: R &amp; iacute;a de Arousa (Spain), Peniche, and Santa Luzia (Portugal). While total lipid content was consistent across sites, Peniche samples showed lower phospholipid levels, and Santa Luzia samples showed elevated LPE/PE and LPC/PC ratios, possibly reflecting stress or degradation. Ether-linked phospholipids and the sphingolipid CAEP were most abundant in R &amp; iacute;a de Arousa, contributing to site discrimination. These findings demonstrate the potential of lipidomic profiling as a tool for seafood traceability, offering insights into environmental and dietary influences on lipid composition.</t>
  </si>
  <si>
    <t>[Rey, Felisa; Gaspar, Luis; do Rosario Domingues, Maria] Univ Aveiro, CESAM Ctr Environm &amp; Marine Studies, Dept Chem, Campus Univ Santiago, Aveiro, Portugal; [Rey, Felisa; do Rosario Domingues, Maria] Univ Aveiro, Mass Spectrometry Ctr, Campus Univ Santiago, Aveiro, Portugal; [Rey, Felisa; do Rosario Domingues, Maria] Univ Aveiro, LAQV REQUIMTE, Dept Chem, Campus Univ Santiago, Aveiro, Portugal; [Ricardo, Fernando; Calado, Ricardo] Univ Aveiro, CESAM Ctr Environm &amp; Marine Studies, ECOMARE Lab Innovat &amp; Sustainabil Marine Biol Reso, Dept Biol, Campus Univ Santiago, Aveiro, Portugal; [Pita, Cristina] Univ Aveiro, CESAM Ctr Environm &amp; Marine Studies, Dept Environm &amp; Planning, Campus Univ Santiago, Aveiro, Portugal; [Pita, Cristina] CSIC, Inst Marine Res IIM, Vigo, Pontevedra, Spain</t>
  </si>
  <si>
    <t>Universidade de Aveiro; Universidade de Aveiro; Universidade de Aveiro; Universidade de Aveiro; Universidade de Aveiro; Consejo Superior de Investigaciones Cientificas (CSIC); CSIC - Instituto de Investigaciones Marinas (IIM)</t>
  </si>
  <si>
    <t>Rey, F (corresponding author), Univ Aveiro, CESAM Ctr Environm &amp; Marine Studies, Dept Chem, Campus Univ Santiago, Aveiro, Portugal.;Rey, F (corresponding author), Univ Aveiro, Mass Spectrometry Ctr, Campus Univ Santiago, Aveiro, Portugal.;Rey, F (corresponding author), Univ Aveiro, LAQV REQUIMTE, Dept Chem, Campus Univ Santiago, Aveiro, Portugal.</t>
  </si>
  <si>
    <t>felisa.rey@ua.pt</t>
  </si>
  <si>
    <t>University of Aveiro; Fundacao para a Ciencia e a Tecnologia I.P. (FCT, Portugal); Ministerio da Ciencia e Tecnologia (MCT); National funds through FCT [UID/50006 + LA/P/0094/2020]; Centro de Estudos do Ambiente e Mar (CESAM) [UID/50006]; National funds through FCT in the scope of the Individual Call to Scientific Employment Stimulus [CEECIND/00580/2017, CEECIND/CP1589/CT0018]; CITAQUA Desenvolvimento do Projeto de Reforco do Polo de Aveiro (H4); Recovery and Resilience Plan (PRR); Fundo Azul of the Portuguese Government; Cephs and Chefs Project; European Regional Development Fund through the Interreg Atlantic Area Programme [EAPA_282/2016]</t>
  </si>
  <si>
    <t>University of Aveiro; Fundacao para a Ciencia e a Tecnologia I.P. (FCT, Portugal)(Fundacao para a Ciencia e a Tecnologia (FCT)); Ministerio da Ciencia e Tecnologia (MCT); National funds through FCT(Fundacao para a Ciencia e a Tecnologia (FCT)); Centro de Estudos do Ambiente e Mar (CESAM); National funds through FCT in the scope of the Individual Call to Scientific Employment Stimulus; CITAQUA Desenvolvimento do Projeto de Reforco do Polo de Aveiro (H4); Recovery and Resilience Plan (PRR); Fundo Azul of the Portuguese Government; Cephs and Chefs Project; European Regional Development Fund through the Interreg Atlantic Area Programme(Interreg Europe)</t>
  </si>
  <si>
    <t>The authors acknowledge the University of Aveiro, Fundacao para a Ciencia e a Tecnologia I.P. (FCT, Portugal), and Ministerio da Ciencia e Tecnologia (MCT). This work was funded by National funds through FCT, under the project/grant UID/50006 + LA/P/0094/2020 (doi.org/10.54499/LA/P/0094/2020) -Centro de Estudos do Ambiente e Mar (CESAM), and UID/50006-Laboratorio Associado para a Quimica Verde-Tecnologias e Processos Limpos. This work was also funded by National funds through FCT in the scope of the Individual Call to Scientific Employment Stimulus 2017 with a Junior Researcher contract to Felisa Rey (reference CEECIND/00580/2017, (https://doi.org/10.54499/CEECIND/00580/2017/CP1459/CT0005) and Cristina Pita (reference 2020.02510.CEECIND/CP1589/CT0018, https://doi.org/10.54499/2020.02510.CEECIND/CP1589/CT0018). This study was supported by research project CITAQUA Desenvolvimento do Projeto de Reforco do Polo de Aveiro (H4), framed within Measure 10 of Investment TC-C10-i01-Hub Azul-Rede de Infraestruturas para a Economia Azul, financed by the Recovery and Resilience Plan (PRR) and supported by Fundo Azul of the Portuguese Government and the Cephs and Chefs Project (https://www.cephsandchefs.com/) funded by the European Regional Development Fund through the Interreg Atlantic Area Programme grant number EAPA_282/2016. We also thank Renato Mamede and Seila Diaz for their technical support. This is a contribution of the Marine Lipidomics Laboratory at the University of Aveiro.</t>
  </si>
  <si>
    <t>AUG 9</t>
  </si>
  <si>
    <t>10.1038/s41538-025-00520-w</t>
  </si>
  <si>
    <t>WOS:001546113500001</t>
  </si>
  <si>
    <t>Moon, SY; Kim, C; Choi, H; Park, JH</t>
  </si>
  <si>
    <t>Moon, Seong Yong; Kim, Changsin; Choi, Haeyoung; Park, Jeong-ho</t>
  </si>
  <si>
    <t>SEASONAL CATCH DYNAMICS AND SPAWNING PATTERNS OF EAST ASIAN COMMON OCTOPUS OCTOPUS SINENSIS D'ORBIGNY, 1834 IN DEUKRYANG BAY, KOREA</t>
  </si>
  <si>
    <t>JOURNAL OF SHELLFISH RESEARCH</t>
  </si>
  <si>
    <t>Octopus sinensis; catch characteristics; reproductive ecology; Deukryang Bay; fisheries management</t>
  </si>
  <si>
    <t>COASTAL WATERS; REPRODUCTIVE-BIOLOGY; VULGARIS CUVIER; CEPHALOPODA; OCTOPODIDAE; FISHERY; ECOLOGY; YEOSU; POT</t>
  </si>
  <si>
    <t>The seasonal catch dynamics and spawning patterns of Octopus sinensis (d'Orbigny, 1834) in Deukryang Bay, Korea, were investigated to make informed sustainable resource management more efficient. Following the analysis of 2023 catch data, significant fluctuations associated with the fishing closure periods were revealed and were characterized by increased catch volumes postclosure and a notable influx of 50% maturity specimens (&lt;549.5 g) in September and October. Heatmap cluster analysis identified distinct groupings by year and month, with peak catches recorded between July and September 2020. These patterns likely reflect interactions among environmental factors, fishing efforts, reproductive activities, and habitat suitability. The spawning season extended from April to August, with bimodal peaks in April-May and July-August, influenced by water temperature fluctuations. Sex ratios exhibited a significant male bias. Logistic regression modeling estimated the 50%, 75%, and 97.5% maturity weights at 549.5, 887.7, and 1,677.1 g, respectively. The postclosure rise in juvenile prevalence necessitates the implementation of a minimum catch weight regulation to safeguard this vulnerable life stage and promotes sustainable management of O. sinensis populations.</t>
  </si>
  <si>
    <t>[Moon, Seong Yong; Choi, Haeyoung] Natl Inst Fisheries Sci, South Sea Fisheries Res Inst, 22 Sepodangmeori Gill, Yeosu Si 59780, Jeonranam Do, South Korea; [Kim, Changsin] Natl Inst Fisheries Sci, Ocean Climate &amp; Ecol Res Div, 216 Gijanghaean Ro, Busan 46083, South Korea; [Park, Jeong-ho] Natl Inst Fisheries Sci, Distant Water Fisheries Resources Div, 216 Gijanghaean Ro, Busan 46083, South Korea</t>
  </si>
  <si>
    <t>National Institute of Fisheries Science; National Institute of Fisheries Science; National Institute of Fisheries Science</t>
  </si>
  <si>
    <t>Moon, SY (corresponding author), Natl Inst Fisheries Sci, South Sea Fisheries Res Inst, 22 Sepodangmeori Gill, Yeosu Si 59780, Jeonranam Do, South Korea.</t>
  </si>
  <si>
    <t>moonsy7744@gmail.com</t>
  </si>
  <si>
    <t>National Institute of Fisheries Science (NIFS) Fisheries Science Research Project [R2025011]</t>
  </si>
  <si>
    <t>National Institute of Fisheries Science (NIFS) Fisheries Science Research Project</t>
  </si>
  <si>
    <t>This research was conducted as part of the National Institute of Fisheries Science (NIFS) Fisheries Science Research Project (R2025011).</t>
  </si>
  <si>
    <t>10.2983/035.044.0213</t>
  </si>
  <si>
    <t>WOS:001553966600013</t>
  </si>
  <si>
    <t>Márquez, L; Weterings, P; Saber, S; Felipe, BC; Maccuro, S; Serrano, M; Seuntjens, E; Acosta-Cifuentes, F; González, M; Almansa, E</t>
  </si>
  <si>
    <t>Marquez, Lorenzo; Weterings, Pauline; Saber, Samar; Felipe, Beatriz C.; Maccuro, Sofia; Serrano, Marta; Seuntjens, Eve; Acosta-Cifuentes, Francisco; Gonzalez, Maria; Almansa, Eduardo</t>
  </si>
  <si>
    <t>Ultrasound measurements reveal predictable relationship between spawning time and ovarian growth in Octopus vulgaris</t>
  </si>
  <si>
    <t>AQUACULTURE REPORTS</t>
  </si>
  <si>
    <t>Ultrasonography; Ovarian volume; Gonadosomatic index; Time to spawning; Specific growth rate; Octopus vulgaris females</t>
  </si>
  <si>
    <t>REPRODUCTIVE-BIOLOGY; HORMONAL-CONTROL; GONAD SIZE; FECUNDITY; SEX; MATURITY; ULTRASONOGRAPHY; FEMALE; CUVIER; STAGE</t>
  </si>
  <si>
    <t>There has been a great interest in common octopus Octopus vulgaris aquaculture in recent years and commercial production is within reach. O. vulgaris is a short-lived semelparous species with a long spawning period. Therefore, monitoring ovary maturation in cultured octopuses can be useful in the scheduling of hatchery operations and management of culture resources. The present work assessed ovary volume as a proxy for maturity status in cultured and wild common octopus by means of a noninvasive technique, ultrasonography, to anticipate the time of spawning in aquaculture. A total of 27 octopuses (15 cultured females with initial wet weights from 600 to 4600 g, and 12 wild females weighing 990-4800 g) in different ovarian maturation stages were used in ultrasonographic procedures. Ultrasound-based ovary volumes were compared with real ovarian volumes and then the ultrasonography-based gonadosomatic index (GSIU) was estimated. Data from cultured females indicate that GSIU was initially below 0.3 cm3 per 100 g of body weight in immature animals, and attained a fast increase until reaching about 4.0 cm3 per 100 g of body weight just before spawning. The steep increase in relative volume occurred similarly in females of different body weights. Furthermore, the specific growth rate of cultured animals decreases with time, and with GSIU. Lastly, a linear mixed model indicated a significantly negative and logarithmic relationship between the time to spawning and GSIU in captive females. This relationship can be used to predict spawning time in immature and maturing females, helping in the management of octopus broodstock in research and production facilities.</t>
  </si>
  <si>
    <t>[Marquez, Lorenzo] Univ Catolica Temuco, Fac Recursos Nat, Ctr Invest Innovac &amp; Creac CIIC UCT, NIPA, Temuco, Chile; [Weterings, Pauline; Maccuro, Sofia; Seuntjens, Eve] Katholieke Univ Leuven, Lab Dev Neurobiol, Dept Biol, Leuven, Belgium; [Saber, Samar; Acosta-Cifuentes, Francisco; Gonzalez, Maria] CSIC, Ctr Oceanog Malaga COMA IEO, Malaga, Spain; [Felipe, Beatriz C.; Serrano, Marta; Almansa, Eduardo] CSIC, Ctr Oceanog Canarias COC IEO, Santa Cruz De Tenerife, Spain</t>
  </si>
  <si>
    <t>Universidad Catolica de Temuco; KU Leuven; Consejo Superior de Investigaciones Cientificas (CSIC); Consejo Superior de Investigaciones Cientificas (CSIC)</t>
  </si>
  <si>
    <t>Almansa, E (corresponding author), CSIC, Ctr Oceanog Canarias COC IEO, Santa Cruz De Tenerife, Spain.</t>
  </si>
  <si>
    <t>eduardo.almansa@ieo.csic.es</t>
  </si>
  <si>
    <t>European Maritime, Fisheries and Aquaculture Fund; Spanish Ministerio de Ciencia e Innovacion MICIU/AEI [PID2021-126824NB-C31-C33]; ERDF/EU; MICIU, European Union Next-Generation EU [PRTR-C17.I1]; Gobierno de Canarias [SD2218/6897]; KU Leuven grant [C14/21/065]; FWO grant [G040124N]</t>
  </si>
  <si>
    <t>European Maritime, Fisheries and Aquaculture Fund; Spanish Ministerio de Ciencia e Innovacion MICIU/AEI; ERDF/EU(European Union (EU)); MICIU, European Union Next-Generation EU; Gobierno de Canarias; KU Leuven grant; FWO grant(FWO)</t>
  </si>
  <si>
    <t>This study has received funding from the European Maritime, Fisheries and Aquaculture Fund; ECOPHYN Project (PID2021-126824NB-C31-C33) funded by Spanish Ministerio de Ciencia e Innovacion MICIU/AEI/10.13039/501100011033 and ERDF/EU and is part of the ThinkInAzul programme supported by MICIU, European Union Next-Generation EU (PRTR-C17.I1) and Gobierno de Canarias (SD2218/6897) . ES was funded by KU Leuven grant C14/21/065 and FWO grant G040124N.</t>
  </si>
  <si>
    <t>SEP 15</t>
  </si>
  <si>
    <t>10.1016/j.aqrep.2025.103025</t>
  </si>
  <si>
    <t>JUL 2025</t>
  </si>
  <si>
    <t>WOS:001542890500001</t>
  </si>
  <si>
    <t>Cabado, AG; Costas, C; de Sousa, DB; Pontes, J; Rangel, M</t>
  </si>
  <si>
    <t>Cabado, Ana G.; Costas, Celina; de Sousa, David Baptista; Pontes, Joao; Rangel, Mafalda</t>
  </si>
  <si>
    <t>Comprehensive Characterization of the Algarve Octopus, Octopus vulgaris: Nutritional Aspects and Quality Indexes of Lipids</t>
  </si>
  <si>
    <t>APPLIED SCIENCES-BASEL</t>
  </si>
  <si>
    <t>nutritional value; Octopus vulgaris; lipids quality; amino acids; Fisher ratio; micronutrients; protein efficiency ratio</t>
  </si>
  <si>
    <t>PROTEIN; FISHERY</t>
  </si>
  <si>
    <t>The common octopus (Octopus vulgaris) supports one of the most valuable small-scale fisheries in Portugal, particularly in the Algarve region, with substantial socioeconomic implications. This species holds significant potential for human consumption due to its low lipid content, favorable fatty acid profile, high-quality protein, and essential microelements. This study aimed to provide a comprehensive characterization of octopus specimens landed in two key Algarve fishing areas-Barlavento/Windward (Alvor Harbour) and Sotavento/Leeward (Fuzeta Harbour). We assessed their nutritional value, focusing on protein quality, lipid indexes, trace minerals, and essential vitamins, as well as overall safety and quality. All regulated contaminants and additional potential risks were also evaluated, yielding fully satisfactory safety results. The research was conducted within the framework of the European Sea2See project, which aims to enhance consumer trust and acceptance of sustainably harvested or farmed seafood in Europe. Our findings demonstrate that Algarve octopus is a nutritionally rich seafood product, promoting cardiovascular health and general well-being.</t>
  </si>
  <si>
    <t>[Cabado, Ana G.; Costas, Celina; de Sousa, David Baptista] ANFACO CECOPESCA, Campus Univ 16, Vigo 36310, Spain; [Pontes, Joao; Rangel, Mafalda] Univ Algarve, Ctr Ciencias Mar Algarve CCMAR CIMAR LA, Campus Gambelas, P-8005139 Faro, Portugal</t>
  </si>
  <si>
    <t>Universidade do Algarve</t>
  </si>
  <si>
    <t>Cabado, AG (corresponding author), ANFACO CECOPESCA, Campus Univ 16, Vigo 36310, Spain.</t>
  </si>
  <si>
    <t>Horizon Europe Research and Innovation programme; FCT-Foundation for Science and Technology [UIDB/04326/2020, UIDP/04326/2020, 2022.03096]; [101060564-Sea2See]; Vinnova [2022-03096] Funding Source: Vinnova</t>
  </si>
  <si>
    <t>Horizon Europe Research and Innovation programme; FCT-Foundation for Science and Technology(Fundacao para a Ciencia e a Tecnologia (FCT)); ; Vinnova(Vinnova)</t>
  </si>
  <si>
    <t>This study has received funding under the Horizon Europe Research and Innovation programme, Grant agreement No. 101060564-Sea2See project. This study also received Portuguese national funds from FCT-Foundation for Science and Technology through projects UIDB/04326/2020 (DOI:10.54499/UIDB/04326/2020), UIDP/04326/2020 (DOI:10.54499/UIDP/04326/2020) and LA/P/0101/2020 (DOI:10.54499/LA/P/0101/2020). MR also acknowledges the project reference 2022.03096.CEECIND (https://doi.org/10.54499/2022.03096.CEECIND/CP1729/CT0007).</t>
  </si>
  <si>
    <t>JUL 24</t>
  </si>
  <si>
    <t>10.3390/app15158235</t>
  </si>
  <si>
    <t>Chemistry, Multidisciplinary; Engineering, Multidisciplinary; Materials Science, Multidisciplinary; Physics, Applied</t>
  </si>
  <si>
    <t>Chemistry; Engineering; Materials Science; Physics</t>
  </si>
  <si>
    <t>WOS:001549013900001</t>
  </si>
  <si>
    <t>Suay, A; Tena-Medialdea, J; Silva, L; Duque, M; García-March, JR</t>
  </si>
  <si>
    <t>Suay, A.; Tena-Medialdea, J.; Silva, L.; Duque, M.; Garcia-March, J. R.</t>
  </si>
  <si>
    <t>Reproductive shift of the common octopus Octopus vulgaris Cuvier, 1797 increases vulnerability to recruitment overexploitation in the Western Mediterranean Sea</t>
  </si>
  <si>
    <t>Reproductive cycle; Fisheries management; Fishing closures; Pots; Bottom trawling; Gulf of Valencia</t>
  </si>
  <si>
    <t>EMBRYONIC-DEVELOPMENT; FISHERY; CEPHALOPODA; CYCLE; TEMPERATURE; DYNAMICS; MOLLUSCA; BIOLOGY; WATERS; GULF</t>
  </si>
  <si>
    <t>The common octopus Octopus vulgaris Cuvier, 1797 is the most important commercial cephalopod in the Western Mediterranean. Due to its semelparous life cycle, the annual population reflects the recruitment success of the previous year. Reproductive shifts may result from the high dependence on environmental factors and fishery-induced demographic changes, as temperature controls the length of the first stages of the life cycle and fishing pressure selects certain segments of the population. Therefore, fishing closures must be adapted to match the reproductive peak to protect spawning individuals. Our study reports a reproductive shift and identifies key periods for optimising fishing closures in the Gulf of Valencia by following the reproductive parameters of 1596 individuals from September 2022 to August 2024. Weight-at-maturity was 778.78 f 46.10 g for males and 1381.13 f 125.61 g for females (BW50 % f SE). Seasonal variability was observed in the maturity of both sexes, sex ratio and monthly CPUE. Mature males dominated landings from December to August, while the female reproductive peak occurred from June to August. These results confirm a reproductive shift, as previous studies in the area indicated a peak from May to July. Given that the current closures do not align with the key reproductive periods, we propose a unified closure during the female spawning period to prevent recruitment overfishing. This study updates the knowledge on the reproductive cycle and provides robust biological evidence essential to readapt the management of the species in support of a sustainable exploitation of the stock.</t>
  </si>
  <si>
    <t>[Suay, A.; Tena-Medialdea, J.; Duque, M.; Garcia-March, J. R.] Univ Catolica Valencia IMEDMAR UCV, Inst Invest Medio Ambiente &amp; Ciencia Marina, Calle Guillem de Castro 94, Valencia 46001, Spain; [Silva, L.] Inst Espanol Oceanog IEO CSIC, Ctr Oceanog Cadiz, Muelle Levante S-N, Cadiz 11006, Spain</t>
  </si>
  <si>
    <t>Tena-Medialdea, J (corresponding author), Univ Catolica Valencia IMEDMAR UCV, Inst Invest Medio Ambiente &amp; Ciencia Marina, Calle Guillem de Castro 94, Valencia 46001, Spain.</t>
  </si>
  <si>
    <t>imedmar@ucv.es</t>
  </si>
  <si>
    <t>Conselleria de Agricultura, Desarrollo Rural, Emergencia Climatica y Transicion Ecologica of the Generalitat Valenciana [CMAYOR/2021/07Y03/197]</t>
  </si>
  <si>
    <t>Conselleria de Agricultura, Desarrollo Rural, Emergencia Climatica y Transicion Ecologica of the Generalitat Valenciana</t>
  </si>
  <si>
    <t>This work was founded by the Conselleria de Agricultura, Desarrollo Rural, Emergencia Climatica y Transicion Ecologica of the Generalitat Valenciana, under the project Estudio de las Caracteristicas Reproductivas del Pulpo (Octopus vulgaris) en Aguas de la Comunitat Valenciana (CMAYOR/2021/07Y03/197). We are also grateful to all the fishermen s guilds that have collaborated on the project for the obtention of the samples.</t>
  </si>
  <si>
    <t>10.1016/j.fishres.2025.107472</t>
  </si>
  <si>
    <t>WOS:001533521400002</t>
  </si>
  <si>
    <t>Prego, R; Cobelo-García, A; Calvo, S; Aubourg, SP</t>
  </si>
  <si>
    <t>Prego, Ricardo; Cobelo-Garcia, Antonio; Calvo, Susana; Aubourg, Santiago P.</t>
  </si>
  <si>
    <t>Comparative Nutritional and Healthy Values of Macro- and Microelements in Edible and Non-Edible Tissues of Raw and Processed Common Octopus (Octopus vulgaris)</t>
  </si>
  <si>
    <t>common octopus; arm; mantle; viscera; cooking; frozen storage; macroelements; microelements; nutrition; sustainability</t>
  </si>
  <si>
    <t>FATTY-ACIDS; COOKING METHODS; FROZEN STORAGE; ELEMENTAL COMPOSITION; DICENTRARCHUS-LABRAX; CANNED FISH; BY-PRODUCTS; QUALITY; POPULATIONS; MINERALS</t>
  </si>
  <si>
    <t>The macroelement (Na, Mg, P, S, K, and Ca) and microelement (Mn, Fe, Co, Cu, Zn, As, Cd, Sn, Ba, and Pb) composition of edible (arm and mantle) and non-edible (viscera) tissues of octopus (Octopus vulgaris) was studied. Three different size groups were considered separately (1-2, 2-3, and 3-4 kg per specimen). Additionally, the effect of cooking processing (40 min at 90 degrees C) and frozen storage (4 months at -18 degrees C) was determined. All raw tissues depicted the following increasing sequence for the macroelement content (p &lt; 0.05): Ca &lt; Mg &lt; P approximate to K &lt; Na approximate to S; regarding microelements, the raw viscera tissue showed a higher level (p &lt; 0.05) than the counterpart edible tissues. The cooking process led to a general decrease in macroelement values (p &lt; 0.05) in arm and mantle tissues; for microelements, no effect (p &gt; 0.05) was observed for Co, Mn, and Sn content, but an average increase was obtained for Cd, Cu, and Pb values. The frozen storage did not lead to element content changes in the arm tissue (p &gt; 0.05); in contrast, general content increases and decreases were detected for mantle and viscera, respectively. In spite of level changes detected, this study proves that viscera, a common waste of commercial processing, can be considered a valuable source of essential elements.</t>
  </si>
  <si>
    <t>[Prego, Ricardo; Cobelo-Garcia, Antonio; Calvo, Susana] CSIC, Marine Res Inst, Dept Oceanog, C E Cabello 6, Vigo 36208, Spain; [Aubourg, Santiago P.] CSIC, Marine Res Inst, Dept Food Technol, C E Cabello 6, Vigo 36208, Spain</t>
  </si>
  <si>
    <t>Prego, R (corresponding author), CSIC, Marine Res Inst, Dept Oceanog, C E Cabello 6, Vigo 36208, Spain.;Aubourg, SP (corresponding author), CSIC, Marine Res Inst, Dept Food Technol, C E Cabello 6, Vigo 36208, Spain.</t>
  </si>
  <si>
    <t>prego@iim.csic.es; acobelo@iim.csic.es; scalvo@iim.csic.es; saubourg@iim.csic.es</t>
  </si>
  <si>
    <t>Spanish Ministry of Research and Innovation; [PID2023-146042OB-C21 (2024-2027)]</t>
  </si>
  <si>
    <t>Spanish Ministry of Research and Innovation(Spanish Government);</t>
  </si>
  <si>
    <t>JUN 23</t>
  </si>
  <si>
    <t>10.3390/foods14132210</t>
  </si>
  <si>
    <t>WOS:001527209100001</t>
  </si>
  <si>
    <t>Maselli, V; Al-Soudy, A; Norcia, M; Galdiero, S; Palladino, S; Cirillo, E; Polese, G; Di Cosmo, A</t>
  </si>
  <si>
    <t>Maselli, Valeria; Al-Soudy, Al-Sayed; Norcia, Mariangela; Galdiero, Stefania; Palladino, Sara; Cirillo, Emanuela; Polese, Gianluca; Di Cosmo, Anna</t>
  </si>
  <si>
    <t>Extraocular Photoreception in Optic Lobes, Suckers, and Skin of Octopus vulgaris</t>
  </si>
  <si>
    <t>INTEGRATIVE ZOOLOGY</t>
  </si>
  <si>
    <t>arm suckers; cephalopods; extraocular perception; optic lobes; retinochrome; rhodopsin; circadian rhythms</t>
  </si>
  <si>
    <t>CEPHALOPOD CHROMATOPHORES; RHODOPSIN; LIGHT; SQUID; OPSIN; BRAIN; EVOLUTION; RETINOCHROME; MELANOPSIN; PERCEPTION</t>
  </si>
  <si>
    <t>Coleoid cephalopods like octopuses, squids, and cuttlefishes have advanced light-sensing systems crucial for visual perception and survival. Previously, it has been demonstrated that the skin of coleoids contains transcripts encoding rhodopsin and retinochrome, exhibiting a dermal light sense. Moreover, chromatophores in the mantle skin of Octopus bimaculoides expand in response to light when completely isolated from the central nervous system and eyes. In our study combining morphology, gene expression, molecular evolution, 3D modeling of protein structures, and phylogenetic analysis, we demonstrated the presence of photosensitive pigment transcripts in Octopus vulgaris, not only in eyes and skin but also in suckers and even optic lobes. In particular, for the first time, the RNA expression of Ov-Rhodopsin, Ov-retinochrome, and Ov-GRK1 was found and quantified in the skin and also localized in different sucker types and the optic lobes. The obtained results suggest that suckers act as extraocular organs. Each of the approximately 1000 suckers contributes to the distributed light perception system, collectively acquiring environmental information that could support eye vision. Our findings could explain octopuses' extraordinary ability to camouflage. Furthermore, the optic lobes, which are part of the central nervous system, could be directly involved in light detection, in addition to their role in the integration of sensory information.</t>
  </si>
  <si>
    <t>[Maselli, Valeria; Norcia, Mariangela; Cirillo, Emanuela; Polese, Gianluca; Di Cosmo, Anna] Univ Naples Federico II, Dept Biol, Naples, Italy; [Al-Soudy, Al-Sayed] Agr Res Ctr, Anim Genet Resources Dept, Natl Gene Bank, Giza, Egypt; [Galdiero, Stefania; Palladino, Sara] Univ Naples Federico II, Sch Med, Dept Pharm, Naples, Italy; [Cirillo, Emanuela; Polese, Gianluca; Di Cosmo, Anna] MNESYS PNRR Partenariato Esteso, Genoa, Italy</t>
  </si>
  <si>
    <t>University of Naples Federico II; Egyptian Knowledge Bank (EKB); Agricultural Research Center - Egypt; University of Naples Federico II</t>
  </si>
  <si>
    <t>Di Cosmo, A (corresponding author), Univ Naples Federico II, Dept Biol, Naples, Italy.;Di Cosmo, A (corresponding author), MNESYS PNRR Partenariato Esteso, Genoa, Italy.</t>
  </si>
  <si>
    <t>dicosmo@unina.it</t>
  </si>
  <si>
    <t>PRIN 2022 Exploring marine biodiversity for new anti-inflammatory and pro-resolving compounds: from naturalresources to potential pharmacological applications.; MNESYS-PNRR Partenariato Esteso, Genova, Italy</t>
  </si>
  <si>
    <t>PRIN 2022 Exploring marine biodiversity for new anti-inflammatory and pro-resolving compounds: from naturalresources to potential pharmacological applications.(Ministry of Education, Universities and Research (MIUR)); MNESYS-PNRR Partenariato Esteso, Genova, Italy</t>
  </si>
  <si>
    <t>This study was supported by PRIN 2022 Exploring marine biodiversity for new anti-inflammatory and pro-resolving compounds: from naturalresources to potential pharmacological applications. MNESYS-PNRR Partenariato Esteso, 16132 Genova, Italy.</t>
  </si>
  <si>
    <t>2025 JUN 13</t>
  </si>
  <si>
    <t>10.1111/1749-4877.13002</t>
  </si>
  <si>
    <t>JUN 2025</t>
  </si>
  <si>
    <t>WOS:001521815900001</t>
  </si>
  <si>
    <t>MAY 2025</t>
  </si>
  <si>
    <t>Gomes, MA; Alves, CM; Neto, R; Faria, F; Troncoso, J; Gomes, PT</t>
  </si>
  <si>
    <t>Gomes, Marisa A.; Alves, Catarina M.; Neto, Regina; Faria, Fabio; Troncoso, Jesus; Gomes, Pedro T.</t>
  </si>
  <si>
    <t>Fishing beyond the surface: Harnessing local ecological knowledge to improve local fisheries management and conservation</t>
  </si>
  <si>
    <t>MARINE POLICY</t>
  </si>
  <si>
    <t>Fishers knowledge; Coastal fishery; Fisheries management; Spatial distribution; North-eastern Atlantic</t>
  </si>
  <si>
    <t>SMALL-SCALE FISHERIES; ARTISANAL FISHERIES; COMANAGEMENT; OCTOPUS; AREAS; COAST</t>
  </si>
  <si>
    <t>In coastal regions undergoing substantial changes due to human activities and environmental shifts, the scarcity of data and resources poses a serious challenge for managing and conservating marine communities. Local ecological knowledge (LEK) from fishers can contribute in various ways, complementing limited scientific data and providing insights into species trends, habitat preferences, and fishing patterns, all of which are essential for effective management in data-scarce regions. Here, local ecological knowledge of fishers is applied to investigate temporal trends of key demersal and benthopelagic species in Viana do Castelo, northern Portugal. Through 88 interviews with professionals (n = 57) and recreational fishers (n = 31), the research explored the spatial distribution of fishing activity, target species, habitat preferences, and species interactions. This study aims to address gaps in regional ecological studies by providing fisheries and ecological data. The results provided valuable insights into the local fishery, such as distinct seabed preferences: 67 % of professional fishers favoured rocky seabeds, while 81 % of recreational fishers preferred mixed areas. Additionally, 98 % of professional fishers reported a decrease in Octopus vulgaris, compared to 58 % of recreational fishers. These findings highlight temporal species patterns-such as the observed declines in key species-and local perceptions of ecological changes. The study further identified areas of concentrated fishing activity, offering critical insights into the spatial dynamics of the Viana do Castelo fishery. These findings can inform management strategies, such as targeted conservation measures or habitat protection efforts, ensuring the sustainability of this vital regional resource. By integrating fishers' LEK into the research process, scientists and stakeholders can comprehensively understand the fishery in the study, facilitating the development of sustainable management strategies that balance conservation goals and the livelihoods of fishing communities. Ultimately, the LEK results contribute to a deeper understanding of the local fishery and ecosystem, providing a robust foundation for current and future research in fisheries and ecology.</t>
  </si>
  <si>
    <t>[Gomes, Marisa A.; Alves, Catarina M.; Neto, Regina; Faria, Fabio; Gomes, Pedro T.] Univ Minho, CBMA Ctr Mol &amp; Environm Biol, Dept Biol, Campus Gualtar, P-4710057 Braga, Portugal; [Gomes, Marisa A.; Alves, Catarina M.; Troncoso, Jesus] Univ Vigo, Ctr Invest Marina, Dept Ecol &amp; Biol Anim, ECOCOST Lab, Vigo, Spain</t>
  </si>
  <si>
    <t>Universidade do Minho; Universidade de Vigo; CIM UVIGO</t>
  </si>
  <si>
    <t>Gomes, MA (corresponding author), Univ Minho, CBMA Ctr Mol &amp; Environm Biol, Dept Biol, Campus Gualtar, P-4710057 Braga, Portugal.</t>
  </si>
  <si>
    <t>marisantunesgomes@gmail.com</t>
  </si>
  <si>
    <t>National funds through the F.C.T. I.P. [UIDB/04050/2020, LA/P/0069/2020]; European Union [730984]; F.C.T [730984, PD/BD/143088/2018, COVID/BD/153031/2022, PD/BD/150365/2019]</t>
  </si>
  <si>
    <t>National funds through the F.C.T. I.P.(Fundacao para a Ciencia e a Tecnologia (FCT)); European Union(European Union (EU)); F.C.T(Fundacao para a Ciencia e a Tecnologia (FCT))</t>
  </si>
  <si>
    <t>This study was supported by the Contrato-Programa UIDB/04050/2020 (https://doi.org/10.54499/UIDB/04050/2020) funded by national funds through the F.C.T. I.P., LA/P/0069/2020 (https://doi.org/10.54499/LA/P/0069/2020) granted to the Associate Laboratory ARNET and from the European Union's Horizon 2020 research and innovation programme under grant agreement No 730984, ASSEMBLE Plus project. Financial support granted by the F.C.T. to M.A.G. (PD/BD/143088/2018 and COVID/BD/153031/2022) and C.M.A. (PD/BD/150365/2019) is also acknowledged.</t>
  </si>
  <si>
    <t>SEP</t>
  </si>
  <si>
    <t>10.1016/j.marpol.2025.106763</t>
  </si>
  <si>
    <t>Environmental Studies; International Relations</t>
  </si>
  <si>
    <t>Environmental Sciences &amp; Ecology; International Relations</t>
  </si>
  <si>
    <t>WOS:001495858800001</t>
  </si>
  <si>
    <t>Hernández-Urcera, J; Soule, SE; Cabanellas-Reboredo, M; González, AF</t>
  </si>
  <si>
    <t>Hernandez-Urcera, Jorge; Soule, Samuel E.; Cabanellas-Reboredo, Miguel; Gonzalez, angel F.</t>
  </si>
  <si>
    <t>Bivalve Shell Utilization by Juvenile Octopus vulgaris in Sandy Substrates</t>
  </si>
  <si>
    <t>bivalve shells; camouflage; juvenile behavior; Octopus vulgaris; sandy habitats; shelter use</t>
  </si>
  <si>
    <t>MOLLUSCA; CEPHALOPODA; MANAGEMENT; ABUNDANCE; BEHAVIOR; ECOLOGY; HABITAT; HISTORY</t>
  </si>
  <si>
    <t>The early life stages of Octopus vulgaris face significant challenges in sandy environments, where shelter is limited and predation risk is high. This study examines how juvenile octopuses adapt to these conditions, focusing on their use of empty bivalve shells as shelters. Between May 2022 and June 2023, through four SCUBA diving expeditions in the C &amp; iacute;es Islands, NW Spain, nine juvenile octopuses were found inhabiting bivalve shells. The juveniles preferentially selected shells that fit their body size, providing protection and minimizing exposure. They manipulated the shells for security and positioned themselves strategically for optimal visual surveillance. Additionally, they used camouflage techniques, blending with the sandy substrate. When threatened, some octopuses displayed bipedal locomotion to enhance their escape. This study highlights the adaptive flexibility of juvenile O. vulgaris in response to predation pressures in sandy habitats, adding to the growing but limited knowledge of habitat-specific behaviors that can help contribute to the conservation strategies of wild populations.</t>
  </si>
  <si>
    <t>[Hernandez-Urcera, Jorge; Soule, Samuel E.; Gonzalez, angel F.] Inst Marine Res IIM CSIC, ECOBIOMAR Res Grp, Vigo, Spain; [Cabanellas-Reboredo, Miguel] CSIC, Ctr Oceanog Illes Balears COB IEO, Palma De Mallorca, Spain</t>
  </si>
  <si>
    <t>Consejo Superior de Investigaciones Cientificas (CSIC); CSIC - Instituto de Investigaciones Marinas (IIM); Consejo Superior de Investigaciones Cientificas (CSIC)</t>
  </si>
  <si>
    <t>Hernández-Urcera, J (corresponding author), Inst Marine Res IIM CSIC, ECOBIOMAR Res Grp, Vigo, Spain.</t>
  </si>
  <si>
    <t>jurcera@iim.csic.es</t>
  </si>
  <si>
    <t>Ministerio de Ciencia, Innovacion y Universidades [PID2019-110088RB-100]</t>
  </si>
  <si>
    <t>Ministerio de Ciencia, Innovacion y Universidades(Spanish Government)</t>
  </si>
  <si>
    <t>This work was supported by Ministerio de Ciencia, Innovacion y Universidades, PID2019-110088RB-100.</t>
  </si>
  <si>
    <t>MAY 15</t>
  </si>
  <si>
    <t>e71060</t>
  </si>
  <si>
    <t>10.1002/ece3.71060</t>
  </si>
  <si>
    <t>WOS:001489278100001</t>
  </si>
  <si>
    <t>Freiría-Martínez, L; Trigo, M; Prego, R; Aubourg, SP</t>
  </si>
  <si>
    <t>Freiria-Martinez, Luis; Trigo, Marcos; Prego, Ricardo; Aubourg, Santiago P.</t>
  </si>
  <si>
    <t>A Comparative Study of the Fatty Acid Profile of Non-Edible and Edible Tissues of Raw and Processed Common Octopus (Octopus vulgaris)</t>
  </si>
  <si>
    <t>MARINE DRUGS</t>
  </si>
  <si>
    <t>octopus; viscera; arm; mantle; cooking; frozen storage; omega 3 fatty acids; omega 3/omega 6 ratio; EPA; DHA</t>
  </si>
  <si>
    <t>HEALTH-BENEFITS; BY-PRODUCTS; BIOACTIVE COMPOUNDS; FROZEN STORAGE; QUALITY; FISH; PROXIMATE; LIPIDS; DORSAL; ZONES</t>
  </si>
  <si>
    <t>A comparative study of the fatty acid (FA) composition of non-edible (viscera) and edible (mantle and arm) tissues of octopus (Octopus vulgaris) was carried out. According to the specimen size, three different groups (1-2 kg, 2-3 kg, and 3-4 kg, respectively) were taken into account. The effect of the cooking process (40 min at 90 degrees C) and frozen storage (4 months at -18 degrees C) was analyzed. In all kinds of samples, the polyunsaturated FA (PUFA) group was the most abundant (p &lt; 0.05) and monounsaturated FAs were the least abundant (p &lt; 0.05). Lower (p &lt; 0.05) omega 3-PUFA, omega 3/omega 6 ratio and docosahexaenoic acid values were detected in viscera (35.4-41.9%, 3.0-4.5%, and 12.7-17.5%, respectively) than in edible tissues (44.4-52.5%, 4.1-6.1%, and 24.3-30.1%, respectively). Conversely, higher (p &lt; 0.05) eicosapentaenoic acid content was detected in viscera (19.6-21.9%) than in the edible tissues (17.2-19.3%). In most cases, the cooking process and frozen storage led to an average decrease in the PUFA and omega 3-PUFA content and to an increase in the saturated FA presence. In agreement with current nutritional recommendations, all tissues showed great levels of highly valuable indices regarding the lipid fraction. The study proves that viscera, a waste substrate, can be considered a relevant source for food and pharmaceutical industrial requirements.</t>
  </si>
  <si>
    <t>[Freiria-Martinez, Luis; Trigo, Marcos; Aubourg, Santiago P.] Marine Res Inst CSIC, Dept Food Technol, c-E Cabello 6, Vigo 36208, Spain; [Prego, Ricardo] Marine Res Inst CSIC, Dept Oceanog, c-E Cabello 6, Vigo 36208, Spain</t>
  </si>
  <si>
    <t>Aubourg, SP (corresponding author), Marine Res Inst CSIC, Dept Food Technol, c-E Cabello 6, Vigo 36208, Spain.</t>
  </si>
  <si>
    <t>lfreiria@iim.csic.es; mtrigo@iim.csic.es; prego@iim.csic.es; saubourg@iim.csic.es</t>
  </si>
  <si>
    <t>Spanish Ministry of Research and Innovation; [PID2023-146042OB-C21]; [2024-2027]</t>
  </si>
  <si>
    <t>Spanish Ministry of Research and Innovation(Spanish Government); ;</t>
  </si>
  <si>
    <t>APR 24</t>
  </si>
  <si>
    <t>10.3390/md23050182</t>
  </si>
  <si>
    <t>Chemistry, Medicinal; Pharmacology &amp; Pharmacy</t>
  </si>
  <si>
    <t>Pharmacology &amp; Pharmacy</t>
  </si>
  <si>
    <t>WOS:001496736300001</t>
  </si>
  <si>
    <t>Zayas-Cruz, O; Rivera-Colón, AG; Schizas, NV</t>
  </si>
  <si>
    <t>Zayas-Cruz, Omar; Rivera-Colon, Angel G.; Schizas, Nikolaos V.</t>
  </si>
  <si>
    <t>High genetic connectivity and moderate diversity detected in the common octopus (Octopus vulgaris) in Puerto Rico through reduced-representation DNA sequencing</t>
  </si>
  <si>
    <t>JOURNAL OF THE MARINE BIOLOGICAL ASSOCIATION OF THE UNITED KINGDOM</t>
  </si>
  <si>
    <t>ddRADseq; genetic connectivity; Octopus vulgaris; Puerto Rico; reduced representation sequencing; single-nucleotide polymorphism; Western-Central Atlantic</t>
  </si>
  <si>
    <t>POPULATION-STRUCTURE; MEDITERRANEAN SEA; CARIBBEAN CURRENT; CEPHALOPODA; OCTOPODIDAE; GENOMICS; RADSEQ; CUVIER; CONSERVATION; MANAGEMENT</t>
  </si>
  <si>
    <t>Although octopuses are the third most fished marine invertebrate species in Puerto Rico, there is a lack of information about this fishery. Here, we present the first small-scale study assessing the genetic diversity and connectivity of Octopus vulgaris in Puerto Rico. To achieve this, we applied double-digest restriction-site associated DNA sequencing, using the restriction enzymes EcoRI and SphI in 43 specimens captured from ten locations representing three geographic regions. We used F-statistics and Bayesian analysis to evaluate over 2000 polymorphic loci. We found high genetic connectivity (FST = 0.0008, FST = 0.005), high nucleotide diversity (pi approximate to 0.1), and moderate genetic diversity (HO approximate to 0.255-0.361, HE approximate to 0.258-0.373) between the studied regions. In contrast to our expectations, given oceanographic characteristics and distance between the geographic regions, our results suggest a single admixed population of O. vulgaris in Puerto Rico, with no differentiation between the sampled regions. Even though genomics techniques are powerful for inferring population connectivity, researchers should be cognizant of protocol limitations to retain the most reliable information possible.</t>
  </si>
  <si>
    <t>[Zayas-Cruz, Omar; Schizas, Nikolaos V.] Univ Puerto R, Dept Marine Sci, Mayaguez, PR 00681 USA; [Rivera-Colon, Angel G.] Univ Oregon, Inst Ecol &amp; Evolut, Eugene, OR USA</t>
  </si>
  <si>
    <t>University of Oregon</t>
  </si>
  <si>
    <t>Zayas-Cruz, O (corresponding author), Univ Puerto R, Dept Marine Sci, Mayaguez, PR 00681 USA.</t>
  </si>
  <si>
    <t>ozayas1926@gmail.com</t>
  </si>
  <si>
    <t>Sea Grant Puerto Rico; University of Puerto Rico 'Fondo Dotal'; Conchologists of America, Inc; Isla Mar Research Expeditions; Lerner-Gray Memorial Fund of the American Museum of Natural History, New York</t>
  </si>
  <si>
    <t>This work was supported by Sea Grant Puerto Rico;University of Puerto Rico'Fondo Dotal'; Conchologists of America, Inc.; Isla Mar Research Expeditions; Lerner-Gray Memorial Fund of the American Museum of Natural History, New York.</t>
  </si>
  <si>
    <t>APR 22</t>
  </si>
  <si>
    <t>e51</t>
  </si>
  <si>
    <t>10.1017/S0025315425000189</t>
  </si>
  <si>
    <t>WOS:001471780100001</t>
  </si>
  <si>
    <t>Soule, SE; Cabanellas-Reboredo, M; González, AF; Juijn, H; Hernández-Urcera, J</t>
  </si>
  <si>
    <t>Soule, Sam Ellington; Cabanellas-Reboredo, Miguel; Gonzalez, Angel F.; Juijn, Hidde; Hernandez-Urcera, Jorge</t>
  </si>
  <si>
    <t>The Persistence of Memory: Behavioral Analysis and Arm Usage of a Nine-Armed Octopus vulgaris</t>
  </si>
  <si>
    <t>cephalopods; Octopus vulgaris; nine-armed Octopus; bifurcation; arm use; behavior; adaptability; pain-associated memory</t>
  </si>
  <si>
    <t>ABDOPUS-ACULEATUS DORBIGNY; MOLLUSCA; CEPHALOPODA; POPULATION; MOVEMENT; ETHOGRAM; SEPIA</t>
  </si>
  <si>
    <t>Anatomical abnormalities in octopuses, whose behavior is facilitated by flexible, neuron-rich arms, offer insights into life histories and the neurological implications of understudied conditions such as bifurcation. Although documentation is scarce, here we present in situ videos of nine-armed O. vulgaris with a functional bifurcated R1 arm. Analysis using RDAs and GLMs investigated the impact of the bifurcated arm on behavior and examined changes during growth. Analysis revealed a differential usage of between the bifurcated arms in addition to an initial specialization of the bifurcated arms for actions below the body, decreasing over time for only one of the arms as grew. Further, bifurcated and regrown arms were utilized more in safe behaviors than risky ones, with more severely injured arms showing a higher frequency of use in safe behaviors. These findings contribute to the growing knowledge of arm usage in octopuses, suggesting that arm bifurcation may lead to branchial neural differentiation and potentially indicate post-traumatic associated in O. vulgaris.</t>
  </si>
  <si>
    <t>[Soule, Sam Ellington; Gonzalez, Angel F.; Hernandez-Urcera, Jorge] CSIC, ECOBIOMAR Res Grp, Inst Marine Res IIM, Eduardo Cabello 6, Vigo 36208, Spain; [Cabanellas-Reboredo, Miguel; Juijn, Hidde] CSIC, Ctr Oceanog Illes Balears COB IEO, Moll Ponent S-N, Palma De Mallorca 07015, Spain</t>
  </si>
  <si>
    <t>Soule, SE; Hernández-Urcera, J (corresponding author), CSIC, ECOBIOMAR Res Grp, Inst Marine Res IIM, Eduardo Cabello 6, Vigo 36208, Spain.</t>
  </si>
  <si>
    <t>samsoule3@gmail.com; miguel.cabanellas@ieo.csic.es; afg@iim.csic.es; hiddejuijn@gmail.com; jurcera@iim.csic.es</t>
  </si>
  <si>
    <t>Ministry of Science, Innovation and Universities, Spain/ECOSUMA Project; Erasmus+ Funding Programme; [PID2019-110088RB-I00]</t>
  </si>
  <si>
    <t>Ministry of Science, Innovation and Universities, Spain/ECOSUMA Project; Erasmus+ Funding Programme(Erasmus+);</t>
  </si>
  <si>
    <t>Ministry of Science, Innovation and Universities, Spain/ECOSUMA Project (PID2019-110088RB-I00) and Erasmus+ Funding Programme.</t>
  </si>
  <si>
    <t>APR 3</t>
  </si>
  <si>
    <t>10.3390/ani15071034</t>
  </si>
  <si>
    <t>WOS:001463659700001</t>
  </si>
  <si>
    <t>Costa, MM; Paredes, E; Peleteiro, M; Sánchez-Ruiloba, L; Gambón, F; Dios, S; Gestal, C</t>
  </si>
  <si>
    <t>Costa, Maria M.; Paredes, Estefania; Peleteiro, Mercedes; Sanchez-Ruiloba, Lucia; Gambon, Francisco; Dios, Sonia; Gestal, Camino</t>
  </si>
  <si>
    <t>Successful cryopreservation of marine invertebrates immune cells enables long-term studies of common octopus, Octopus vulgaris Cuvier 1797, hemocyte immune functions</t>
  </si>
  <si>
    <t>FRONTIERS IN IMMUNOLOGY</t>
  </si>
  <si>
    <t>MAS medium; acclimation; optimal thawing; functional activity; cell viability; phagocytosis; invertebrate immunity</t>
  </si>
  <si>
    <t>CEPHALOPODS; EVOLUTION; BEHAVIOR; SYSTEM; IL-22; MODEL</t>
  </si>
  <si>
    <t>The common octopus, Octopus vulgaris Cuvier 1797, as all cephalopods, presents highly evolved characteristics compared to other classes of molluscs and the whole invertebrate phyla. However, to date, there is not much information about its immune system, and studying the defense mechanisms is a key step in understanding their response to external aggressions, having the tools to anticipate animal health problems and ensure their welfare. The lack of cell cultures in molluscs is a major problem when carrying out in vitro assays that help to deepen our knowledge of this species' main immune cells. Cryopreservation becomes an alternative to maintaining viable and functional cells after freezing/thawing processes. Having access to good high-quality cells for long periods allows cover a wider repertoire of studies, time courses, and the avoidance of logistical issues such as loss of viability and/or functionality, time constraints, or sample transport challenges. Additionally, high-quality cell suspensions are essential for successful applications, such as single-cell sequencing, where viability and functionality are the key to optimal identification. The optimal medium, cryoprotective agent, and freezing/thawing protocol for octopus hemocytes have been selected. We show here the first functional results from cryopreserved hemocytes. Cells cryopreserved in MAS medium supplemented with EG maintained viability above 80% after 15 weeks post cryopreservation storage at -80 degrees C, and their functional ability to phagocytize bacteria similar to fresh cells. Moreover, thawed acclimated cells exhibited a gene expression pattern comparable to fresh cells, as opposed to directly thawed cells. The acclimation process after thawing was essential to recover the functional activity of the cells and to return to levels of gene expression involved in oxidative stress similar to fresh cells.The results presented here will facilitate functional studies of octopus immune cells and provide tools for cell preservation in other molluscs species.</t>
  </si>
  <si>
    <t>[Costa, Maria M.; Sanchez-Ruiloba, Lucia; Dios, Sonia; Gestal, Camino] CSIC, Inst Invest Marinas IIM, Vigo, Spain; [Paredes, Estefania] Univ Vigo, Marine Res Ctr, Dept Ecol &amp; Anim Biol, Coastal Ecol Res Grp ECOCOST, Vigo, Spain; [Peleteiro, Mercedes] Univ Vigo, CINBIO, Vigo, Spain; [Gambon, Francisco] Vigo Univ Hosp Complex, Dept Immunol, Vigo, Spain</t>
  </si>
  <si>
    <t>Consejo Superior de Investigaciones Cientificas (CSIC); CSIC - Instituto de Investigaciones Marinas (IIM); Universidade de Vigo; Universidade de Vigo; CINBIO; Complexo Hospitalario Universitario de Vigo</t>
  </si>
  <si>
    <t>Gestal, C (corresponding author), CSIC, Inst Invest Marinas IIM, Vigo, Spain.</t>
  </si>
  <si>
    <t>MCIN/AEI; European Union NextGenerationEU/PRTR</t>
  </si>
  <si>
    <t>MCIN/AEI; European Union NextGenerationEU/PRTR(European Union (EU))</t>
  </si>
  <si>
    <t>The authors thank the SACUIM and Microscopy Service of the IIM-CSIC for their technical support. The authors would also like to thank the Immunology and Genomics Group to the IIM-CSIC for providing access to the Thunder Microscope. Estefania Paredes holds a Juan de la Cierva Incorporacion grant funded by MCIN/AEI/10.13039/501100011033 and by European Union NextGenerationEU/PRTR.</t>
  </si>
  <si>
    <t>MAR 21</t>
  </si>
  <si>
    <t>10.3389/fimmu.2025.1543587</t>
  </si>
  <si>
    <t>Immunology</t>
  </si>
  <si>
    <t>WOS:001458596300001</t>
  </si>
  <si>
    <t>Tapia-Vasquez, AE; Torres-Arreola, W; Ezquerra-Brauer, JM; Márquez-Ríos, E; Santacruz-Ortega, H; Ramírez-Suárez, JC; García-Sánchez, G; Suárez-Jiménez, GM</t>
  </si>
  <si>
    <t>Tapia-Vasquez, Angel Edgardo; Torres-Arreola, Wilfrido; Ezquerra-Brauer, Josafat Marina; Marquez-Rios, Enrique; Santacruz-Ortega, Hisila; Ramirez-Suarez, Juan Carlos; Garcia-Sanchez, Guillermina; Suarez-Jimenez, Guadalupe Miroslava</t>
  </si>
  <si>
    <t>Spectrometric determination of the collagen crosslinking degree through pyridinoline identification and evaluation of the viscosity properties of Octopus vulgaris and Dosidicus gigas arm muscles</t>
  </si>
  <si>
    <t>Pyridinoline; Viscosity; Pseudoplastic fluid; Fluorometric spectrometry; Cephalopods</t>
  </si>
  <si>
    <t>GIANT-SQUID MANTLE; LYSYL OXIDASE ACTIVITY; HEAD; FIN</t>
  </si>
  <si>
    <t>Field application of collagen obtained from marine organisms is in wide practice. Moreover, its use could be conditioned depending on the desired purpose and structural characteristics. Therefore, further studies on collagen crosslinking are needed to determine how this may affect the properties of collagen. A spectrophotometric characterization of the collagen found in Octopus vulgaris and Dosidicus gigas arms was carried out. The 1H NMR and fluorometric spectra confirmed the presence of pyridinoline as the main molecule responsible for collagen crosslinking. Using the amino acid profile and 1H NMR spectra, it was determined that the jumbo squid has a relatively high pyridinoline content. The viscosity properties of this collagen were found to exhibit the behaviour of a pseudoplastic fluid. Finally, under the conditions proposed in this study, the degree of crosslinking of the collagen of the octopus and the jumbo squid did not affect the viscosity properties of the protein.</t>
  </si>
  <si>
    <t>[Tapia-Vasquez, Angel Edgardo] Univ Sonora, Dept Invest &amp; Posgrad Alimentos, CONAHCYT, Blvd Luis Encinas &amp; Rosales s-n,Apdo Postal 1658, Hermosillo 83000, Sonora, Mexico; [Torres-Arreola, Wilfrido; Ezquerra-Brauer, Josafat Marina; Marquez-Rios, Enrique; Suarez-Jimenez, Guadalupe Miroslava] Univ Sonora, Dept Invest &amp; Posgrad Alimentos, Blvd Luis Encinas &amp; Rosales s-n,Apdo Postal 1658, Hermosillo 83000, Sonora, Mexico; [Santacruz-Ortega, Hisila] Univ Sonora, Dept Invest Polimeros &amp; Mat, Blvd Luis Encinas &amp; Rosales s-n, Hermosillo 83000, Sonora, Mexico; [Ramirez-Suarez, Juan Carlos; Garcia-Sanchez, Guillermina] Ctr Invest Aimentac &amp; Desarrollo A C, Carretera Gustavo Enrique Astiazaran 46, Hermosillo 83304, Sonora, Mexico</t>
  </si>
  <si>
    <t>Universidad de Sonora; Universidad de Sonora; Universidad de Sonora</t>
  </si>
  <si>
    <t>Torres-Arreola, W (corresponding author), Univ Sonora, Dept Invest &amp; Posgrad Alimentos, Blvd Luis Encinas &amp; Rosales s-n,Apdo Postal 1658, Hermosillo 83000, Sonora, Mexico.</t>
  </si>
  <si>
    <t>wilfrido.torres@unison.mx</t>
  </si>
  <si>
    <t>Consejo Nacional de Humanidades, Ciencia y Tecnologia (CONACHYT)</t>
  </si>
  <si>
    <t>This work was supported by the Consejo Nacional de Humanidades, Ciencia y Tecnologia (CONACHYT) .</t>
  </si>
  <si>
    <t>10.1016/j.afres.2025.100832</t>
  </si>
  <si>
    <t>MAR 2025</t>
  </si>
  <si>
    <t>WOS:001467101800001</t>
  </si>
  <si>
    <t>Cameselle, C; Costas, C; Garcia-Marti, M; Otero, P; Simal-Gandara, J</t>
  </si>
  <si>
    <t>Cameselle, Carla; Costas, Celia; Garcia-Marti, Maria; Otero, Paz; Simal-Gandara, Jesus</t>
  </si>
  <si>
    <t>Chemical and nutritional characterization of non-conventional marine sources from the Atlantic coast of southwest Europe</t>
  </si>
  <si>
    <t>JOURNAL OF AGRICULTURE AND FOOD RESEARCH</t>
  </si>
  <si>
    <t>Marine resources; Functional ingredients; Nutritional indices; Protein quality; Fatty acids</t>
  </si>
  <si>
    <t>GAS-CHROMATOGRAPHY; FATTY-ACIDS; EXTRACTION; COLLAGEN; GROWTH; BONE; SKIN</t>
  </si>
  <si>
    <t>This study aims to provide required data for the valorization of 24 underutilized seafood industry by-products, focusing on their proximate composition, amino acid and fatty acid profiles, mineral content, and nutritional indices. A total of 15 samples were from 5 species of fish: skipjack tuna (Katsuwonus pelamis), yellowfin tuna (Thunnus albacares), blue whiting (Micromesistius poutassou), horse mackerel (Trachurus trachurus) and turbot (Scophthalmus maxima). Another 4 biomasses were from mussels (Mytilus galloprovincialis), 1 sample from octopus (Octopus vulgaris), and finally 4 by-products were from different squid species (Sepia officinalis, Dosidicus gigas, Illex argentinus and Loligo vulgaris). Results indicated that protein are predominant across all samples, remarkably in yellowfin and skipjack tuna viscera (72.74 % and 68.28 %, respectively), tuna trim blend (72.65 %) and blue whiting and horse mackerel head (68.03 % and 60.40 %, respectively). Leucine and lysine were identified as the most prevalent essential amino acids (EAA), with concentrations between 13.72 % and 25.86 % and lysine between 10.27 % and 21.71 % from total EAA. Additionally, EAA index (EAAI) identified yellowfin tuna trim blend (110 %), squid gladius (105 %), and squid viscera (102 %) as EAA-rich by-products. Regarding fatty acids, turbot viscera and skipjack tuna head stood out as lipid-rich samples (51.32 % and 38.56 %, respectively) and squid viscera showed the highest EPA (27,572.10 +/- 3938.73 mg/kg) and DHA (42,770.63 +/- 5430.86 mg/kg) content. In conclusion, this work not only provides an overview of the nutritional profile of underutilized seafood industry by-products, but also remarks their subsequent valorization. Current market trends highlight a growing demand for proteins that are healthy (nutritious and well-balanced diets), sustainable (from environmental, economic and social perspectives) and ethically obtained.</t>
  </si>
  <si>
    <t>[Cameselle, Carla; Costas, Celia; Garcia-Marti, Maria; Otero, Paz; Simal-Gandara, Jesus] Univ Vigo, Fac Sci, Dept Analyt Chem &amp; Food Sci, Nutr &amp; Bromatol Grp, Orense 32004, Spain; [Cameselle, Carla; Costas, Celia; Otero, Paz] Univ Vigo, Inst Agroecol &amp; Alimentac IAA, Campus Auga, Orense 32004, Spain; [Garcia-Marti, Maria; Otero, Paz; Simal-Gandara, Jesus] Galicia Sur Hlth Res Inst IIS Galicia Sur SERGAS U, Agr &amp; Food Res Grp AA1, Vigo, Spain; [Garcia-Marti, Maria; Simal-Gandara, Jesus] CISPAC, Fontan Bldg, Santiago De Compostela, Spain</t>
  </si>
  <si>
    <t>Universidade de Vigo; Universidade de Vigo</t>
  </si>
  <si>
    <t>Otero, P; Simal-Gandara, J (corresponding author), Univ Vigo, Fac Sci, Dept Analyt Chem &amp; Food Sci, Nutr &amp; Bromatol Grp, Orense 32004, Spain.</t>
  </si>
  <si>
    <t>paz.otero@uvigo.es; jsimal@uvigo.es</t>
  </si>
  <si>
    <t>MICINN [RYC2022-036690-I]; Xunta de Galicia [GRC-ED431C 2022/25, ED431F 2024/22]; CBE JU; European Union [101112378]</t>
  </si>
  <si>
    <t>MICINN(Spanish Government); Xunta de Galicia(Xunta de Galicia); CBE JU; European Union(European Union (EU))</t>
  </si>
  <si>
    <t>The research leading to these results was supported by MICINN for supporting the Ramon y Cajal's grant for Paz Otero (RYC2022-036690-I) , by Xunta de Galicia for supporting the program Excelencia-ED431F 2024/22 and GRC-ED431C 2022/25, by PROMISEANG Project, co-funded by CBE JU, Bio-based Industries Consortium and European Union through HORIZON-JU-CBE-2022-R-04, under Grant Agreement 101112378. Authors would like to acknowledge the use of scientific and technical services of Centro de Apoio Cientifico e Tecnoloxico a Investigacion (CACTI-Universidade de Vigo) .</t>
  </si>
  <si>
    <t>10.1016/j.jafr.2025.102540</t>
  </si>
  <si>
    <t>FEB 2025</t>
  </si>
  <si>
    <t>Agriculture, Multidisciplinary; Food Science &amp; Technology</t>
  </si>
  <si>
    <t>Agriculture; Food Science &amp; Technology</t>
  </si>
  <si>
    <t>WOS:001636562300002</t>
  </si>
  <si>
    <t>Fernández, J; Gestoso, I; Juijn, H; Cabanellas-Reboredo, M; Hernández-Urcera, J</t>
  </si>
  <si>
    <t>Fernandez, Julio; Gestoso, Ignacio; Juijn, Hidde; Cabanellas-Reboredo, Miguel; Hernandez-Urcera, Jorge</t>
  </si>
  <si>
    <t>First Records of Wild Octopus (Octopus vulgaris) Preying on Adult Invasive Blue Crabs (Callinectes sapidus)</t>
  </si>
  <si>
    <t>alien species; citizen science; management of biological invasions; Mediterranean Sea; predation</t>
  </si>
  <si>
    <t>1896 DECAPODA; RATHBUN; COAST; PORTUNIDAE; CEPHALOPODA; MOLLUSCA; BIOLOGY; GROWTH; SEA</t>
  </si>
  <si>
    <t>The Atlantic blue crab, Callinectes sapidus, has rapidly expanded its invasive range ubiquitously in the Mediterranean Sea, posing ecological threats to native ecosystems. In its native habitat, the crab plays a crucial role in the ecosystem, but in invaded areas, it lacks natural predators. This has led to rapid expansion, highlighting the need to monitor and understand biological interactions with the native community. This study reports, for the first time in the wild, the predation of the invasive blue crab by the common octopus, Octopus vulgaris, in the Mediterranean Sea. Three sequences (two videos and a photography series) recorded by two spearfisherman (observation 1 and 2) and a recreational SCUBA diver (observation 3) are described. This article highlights the importance of native predators in influencing the expansion or control of invasive species. Additionally, it showcases the capacity of a versatile predator (the octopus), to serve as an ally alongside the fishing strategy, suggesting a novel perspective for ecologically sustainable management, in a context of low native predators of the blue crab. The collaboration with citizen scientists proves crucial in expanding our understanding of predator-prey dynamics and ecological interactions, underlining the need for continued partnerships between researchers and society for effective invasive species management.</t>
  </si>
  <si>
    <t>[Fernandez, Julio; Hernandez-Urcera, Jorge] CSIC, Inst Invest Marinas IIM, ECOBIOMAR Res Grp, Vigo, Spain; [Gestoso, Ignacio] Univ Cadiz UCA, Fac Marine &amp; Environm Sci, Dept Biol, Cadiz, Spain; [Gestoso, Ignacio] Univ Cadiz UCA, Marine Res Inst INMAR, Cadiz, Spain; [Gestoso, Ignacio] ARNET Aquat Res Network, MARE Marine &amp; Environm Sci Ctr, Agencia Reg Desenvolvimento Invest Tecnol &amp; Inovac, Funchal, Portugal; [Gestoso, Ignacio] Smithsonian Environm Res Ctr SERC, Edgewater, MD USA; [Juijn, Hidde; Cabanellas-Reboredo, Miguel] CSIC, Natl Ctr Spanish Inst Oceanog, Mallorca, Spain</t>
  </si>
  <si>
    <t>Consejo Superior de Investigaciones Cientificas (CSIC); CSIC - Instituto de Investigaciones Marinas (IIM); Universidad de Cadiz; Universidad de Cadiz; Smithsonian Institution; Smithsonian Environmental Research Center; Consejo Superior de Investigaciones Cientificas (CSIC)</t>
  </si>
  <si>
    <t>Hernández-Urcera, J (corresponding author), CSIC, Inst Invest Marinas IIM, ECOBIOMAR Res Grp, Vigo, Spain.</t>
  </si>
  <si>
    <t>Jae Intro fellowship - CSIC [JAEINT_23_020793]; University of Cadiz; Spanish Ministry of Universities - European Union-Next GenerationEU</t>
  </si>
  <si>
    <t>Jae Intro fellowship - CSIC(Consejo Superior de Investigaciones Cientificas (CSIC)); University of Cadiz; Spanish Ministry of Universities - European Union-Next GenerationEU</t>
  </si>
  <si>
    <t>J.F. was supported by a Jae Intro fellowship granted by CSIC (JAEINT_23_020793). I.G. is a beneficiary of a post-doctoral contract Maria Zambrano from the University of Cadiz and the Spanish Ministry of Universities, funded by the European Union-Next GenerationEU.</t>
  </si>
  <si>
    <t>FEB 8</t>
  </si>
  <si>
    <t>e70989</t>
  </si>
  <si>
    <t>10.1002/ece3.70989</t>
  </si>
  <si>
    <t>WOS:001416381500001</t>
  </si>
  <si>
    <t>Maselli, V; Norcia, M; Pinto, B; Cirillo, E; Polese, G; Di Cosmo, A</t>
  </si>
  <si>
    <t>Maselli, Valeria; Norcia, Mariangela; Pinto, Bruno; Cirillo, Emanuela; Polese, Gianluca; Di Cosmo, Anna</t>
  </si>
  <si>
    <t>Stress Induced by Fishing in Common Octopus (Octopus vulgaris) and Relative Impact on Its Use as an Experimental Model</t>
  </si>
  <si>
    <t>Octopus vulgaris; fishing stress; animal welfare; artisanal fishing; research ethics; welfare biomarkers</t>
  </si>
  <si>
    <t>MYTILUS-GALLOPROVINCIALIS; REPRODUCTIVE-SYSTEM; GENE-EXPRESSION; HEAT-SHOCK; PROTEINS; CUVIER; GROWTH; SEX; BIOMARKERS; RESPONSES</t>
  </si>
  <si>
    <t>The common octopus (Octopus vulgaris), among coleoid cephalopods, has evolved the most complex nervous system and sophisticated behaviors. Historically, O. vulgaris was a key animal model for neurophysiology research, and today, it is studied for its genomic innovations. However, unlike other models, there is no octopus farming for research, so specimens must be collected from the wild. This study assessed the impact of fishing on octopuses used in research, considering those caught using artisanal pots in the 'Regno di Nettuno' Marine Protected Area, Ischia (NA). To evaluate fishing stress, we identified morphological stress indicators such as chromatophore pattern and posture, and three potential molecular markers, estrogen receptor (ER), catalase (CAT), and heat shock protein (HSP70). We measured the percentage of stress signals shown by fished specimens and analyzed their differential gene expression. The transcriptional levels of octopuses caught using traps were compared to control specimens acclimated in captivity. Results indicated fluctuations in gene expression due to fishing stress. These findings suggest that an acclimation period after the stress event of fishing is crucial for ensuring the welfare of octopuses used in research, thus enhancing the quality of physiological and ethological studies.</t>
  </si>
  <si>
    <t>[Maselli, Valeria; Norcia, Mariangela; Pinto, Bruno; Cirillo, Emanuela; Polese, Gianluca; Di Cosmo, Anna] Univ Naples Federico II, Dept Biol, Via Cinthia, I-80126 Naples, Italy; [Pinto, Bruno] Stn Zool Anton Dohrn, Dept Ecosustainable Marine Biotechnol, Via Ammiraglio Ferdinando Acton 55, I-80133 Naples, Italy; [Pinto, Bruno] Ischia Marine Ctr, Dept Ecosustainable Marine Biotechnol, Stn Zool Anton Dohrn, I-80077 Ischia, Italy; [Cirillo, Emanuela; Polese, Gianluca; Di Cosmo, Anna] MNESYS PNRR Partenariato Esteso, I-16132 Genoa, Italy</t>
  </si>
  <si>
    <t>University of Naples Federico II; Stazione Zoologica Anton Dohrn; Stazione Zoologica Anton Dohrn</t>
  </si>
  <si>
    <t>Di Cosmo, A (corresponding author), Univ Naples Federico II, Dept Biol, Via Cinthia, I-80126 Naples, Italy.;Di Cosmo, A (corresponding author), MNESYS PNRR Partenariato Esteso, I-16132 Genoa, Italy.</t>
  </si>
  <si>
    <t>valeria.maselli@unina.it; mariangela.norcia@unina.it; bruno.pinto@szn.it; emanuela.cirillo@unina.it; gianluca.polese@unina.it; dicosmo@unina.it</t>
  </si>
  <si>
    <t>PO FEAMP Campania 2014/2020 project; PO FEAMP Campania; Italian Ministry for University and Research (MIUR) [PE0000006, 1553 11.10.2022]; National Recovery and Resilience Plan (NRRP)</t>
  </si>
  <si>
    <t>PO FEAMP Campania 2014/2020 project; PO FEAMP Campania; Italian Ministry for University and Research (MIUR)(Ministry of Education, Universities and Research (MIUR)); National Recovery and Resilience Plan (NRRP)</t>
  </si>
  <si>
    <t>This research was funded by PO FEAMP Campania 2014/2020 project (Measure 1.40, Working Package 1, Task 1.6: Management Plan for Octopus Fisheries). This work was funded in part by the Italian Ministry for University and Research (MIUR), #NEXTGENERATIONEU (NGEU), National Recovery and Resilience Plan (NRRP), project MNESYS (PE0000006)-A Multiscale integrated approach to the study of the nervous system in health and disease (DN. 1553 11.10.2022)-Spoke 3.</t>
  </si>
  <si>
    <t>10.3390/ani15040503</t>
  </si>
  <si>
    <t>WOS:001429558900001</t>
  </si>
  <si>
    <t>Techetach, M; Achtak, H; Lozano-Bilbao, E; Kouali, H; Rafiq, F; Kerkich, M; Dahbi, A</t>
  </si>
  <si>
    <t>Techetach, Mohamed; Achtak, Hafid; Lozano-Bilbao, Enrique; Kouali, Hassnae; Rafiq, Fatima; Kerkich, Maha; Dahbi, Abdallah</t>
  </si>
  <si>
    <t>Accumulation of trace metals in the digestive gland and muscle of the common octopus (Octopus vulgaris) from the northwestern Atlantic coast of Morocco</t>
  </si>
  <si>
    <t>MARINE POLLUTION BULLETIN</t>
  </si>
  <si>
    <t>Metallic pollution; Biometric parameters; Bioindicator; Environmental biomonitoring; Cephalopod</t>
  </si>
  <si>
    <t>MEDITERRANEAN SEA; SEPIA-OFFICINALIS; HEAVY-METALS; DETOXIFICATION PROCESSES; ELEDONE-CIRRHOSA; CEPHALOPODS; CADMIUM; FISH; TISSUES; COPPER</t>
  </si>
  <si>
    <t>The present study aimed to assess trace metal (TM) accumulation in the digestive gland and muscle of Octopus vulgaris, collected along the northwestern Atlantic coast of Morocco. Essential TMs (Cu and Zn) were the most abundant in tissues, with the following sequence: Cu &gt; Zn &gt; Cd &gt; Cr in the digestive gland and Zn &gt; Cu &gt; Cr &gt; Cd in muscle. In addition, TM concentrations were consistently and significantly higher in the digestive gland. For non-essential TMs, Cd was significantly more elevated in digestive glands than in muscle, with concentrations up to 702 times higher, and exhibited greater interindividual variability. Also, significant relationships were found in the digestive gland between Cd and Cu levels and the size of samples. In contrast, sex and maturity stage had no effect on TM content or distribution pattern among tissues. Metal ratios (Cd/Zn and Cd/Cu) in the digestive gland clearly correlated with biometric traits and TM levels, indicating a complex interactive behavior between these pollutants during the bioaccumulation process. These findings enhance our understanding of metal partitioning in O. vulgaris and highlight their potential as bioindicators.</t>
  </si>
  <si>
    <t>[Techetach, Mohamed; Achtak, Hafid; Kouali, Hassnae; Rafiq, Fatima; Dahbi, Abdallah] Cadi Ayyad Univ, Polydisciplinary Fac, Dept Biol, Lab Ecotoxicol Bioresources &amp; Coastal Geomorphol, Safi 46000, Morocco; [Lozano-Bilbao, Enrique] Univ Palmas Las Palmas De Gran Canaria, Inst Invest Estudios Ambientales &amp; Recursos Nat i, Grp Invest Ecol Marina Aplicada &amp; Pesquerias EMAP, Campus Tafira, Las Palmas Gran Canaria 35017, Las Palmas, Spain; [Kerkich, Maha] Abdelmalek Essaadi Univ, Fac Sci, Lab Ecol Biodivers &amp; Environm, Tetouan, Morocco</t>
  </si>
  <si>
    <t>Cadi Ayyad University of Marrakech; Abdelmalek Essaadi University of Tetouan</t>
  </si>
  <si>
    <t>Techetach, M (corresponding author), Cadi Ayyad Univ, Polydisciplinary Fac, Dept Biol, Lab Ecotoxicol Bioresources &amp; Coastal Geomorphol, Safi 46000, Morocco.</t>
  </si>
  <si>
    <t>m.techetach@uca.ma</t>
  </si>
  <si>
    <t>JUL</t>
  </si>
  <si>
    <t>10.1016/j.marpolbul.2025.118037</t>
  </si>
  <si>
    <t>JAN 2025</t>
  </si>
  <si>
    <t>Environmental Sciences; Marine &amp; Freshwater Biology</t>
  </si>
  <si>
    <t>WOS:001482394700001</t>
  </si>
  <si>
    <t>Islam, KR; Debnath, PC; Rahman, S; Chakraborty, TK; Chowdhury, P; Netema, BN; Nice, S; Rayhan, MA; Hasan, MJ; Asif, SMH; Biswas, A; Sarker, S; Ahmmed, M; Zaman, S; Ghosh, GC; Hasibuzzaman, M; Rahman, IM; Islam, S</t>
  </si>
  <si>
    <t>Islam, Khandakar Rashedul; Debnath, Partha Chandra; Rahman, Sozibur; Chakraborty, Tapos Kumar; Chowdhury, Pragga; Netema, Baytune Nahar; Nice, Simoon; Rayhan, Md Abu; Hasan, Md Jahid; Asif, Sk Mahmudul Hasan; Biswas, Aditi; Sarker, Sarajit; Ahmmed, Mahfuz; Zaman, Samina; Ghosh, Gopal Chandra; Hasibuzzaman, Md; Rahman, Ismail M.; Islam, Sojib</t>
  </si>
  <si>
    <t>Tracing the journey of microplastics in the Northern Bay of Bengal marine ecosystems, Bangladesh: A comprehensive study on source appointments, distribution, and potential risks</t>
  </si>
  <si>
    <t>JOURNAL OF HAZARDOUS MATERIALS ADVANCES</t>
  </si>
  <si>
    <t>Microplastic; Ecological risks; Human health; Pollution indices; Marine ecosystem; Bangladesh</t>
  </si>
  <si>
    <t>FIBERS; DEBRIS</t>
  </si>
  <si>
    <t>Microplastics (MPs) pose a substantial environmental threat, jeopardizing marine ecosystems and biodiversity worldwide. This study provides a comprehensive assessment of MP pollution in the Northern Bay of Bengal Marine Ecosystems, Bangladesh (Kuakata Sea Beach), offering a multi-matrix evaluation of MPs across surface water, sediment, and marine biota (fish, crustaceans, and mollusca)-a novel approach for this region. MP characterization was conducted using stereomicroscopy and Attenuated Total Reflectance Fourier Transform Infrared Spectroscopy (ATR-FTIR) to ensure precise polymer identification. The study reveals significant MP contamination across all matrices, with concentrations reaching 145.5 f 33.1 items/L in surface water, 362.2 f 57.2 items/kg dry weight in sediment, and varying levels in biota (23.8 f 6.3 items/individual fish, 27.3 f 6.9 items/individual crustacean, and 34.1 f 3.6 items/individual mollusca). Fibrous MPs dominated the samples, typically exceeding 0.1 mm in size, except in crustaceans. The most abundant polymer types were polyethylene (PE), polypropylene (PP), polyethylene terephthalate (PET), polystyrene (PS), polyvinyl chloride (PVC), Nylon-6, and Polyurethane (PUR). Unlike previous studies, this research integrates pollution evaluation indices (CF, NPI, PLI) to quantify MP risks across all matrices, revealing a spectrum of pollution levels ranging from low to very high. High polymer-associated risks were recorded for surface water and beach sediments, highlighting the potential ecological consequences of MP accumulation. Among biota, J. belangerii (fish), O. macrocera (crustacean), and O. vulgaris (mollusc) exhibited the highest levels of MP contamination, reinforcing concerns regarding marine food chain disruption. Furthermore, this study presents a critical human exposure assessment, estimating that children ingest nearly three times more MPs than adults through seafood consumption-a finding that underscores the urgent need for public health interventions and policy responses. The estimated exposure levels for children are 15.48 f 5.17, 21.81 f 5.24, and 22.01 f 6.49 MPs per day, while adults are exposed to 4.22 f 1.41, 5.95 f 1.43, and 6.0 f 1.77 MPs per day for fish, crustaceans, and mollusca, respectively. This study uniquely integrates environmental and human risk assessments, bridging ecosystem health with public health concerns. This research contributes novel insights into regional and global microplastic pollution assessments, reinforcing the necessity of sustainable policy measures to mitigate marine plastic contamination.</t>
  </si>
  <si>
    <t>[Islam, Khandakar Rashedul; Debnath, Partha Chandra; Rahman, Sozibur; Chakraborty, Tapos Kumar; Chowdhury, Pragga; Netema, Baytune Nahar; Nice, Simoon; Rayhan, Md Abu; Hasan, Md Jahid; Asif, Sk Mahmudul Hasan; Biswas, Aditi; Sarker, Sarajit; Ahmmed, Mahfuz; Zaman, Samina; Ghosh, Gopal Chandra; Rahman, Ismail M.; Islam, Sojib] Jashore Univ Sci &amp; Technol, Dept Environm Sci &amp; Technol, Jashore 7408, Bangladesh</t>
  </si>
  <si>
    <t>Chakraborty, TK (corresponding author), Jashore Univ Sci &amp; Technol, Dept Environm Sci &amp; Technol, Jashore 7408, Bangladesh.</t>
  </si>
  <si>
    <t>taposchakraborty@just.edu.bd</t>
  </si>
  <si>
    <t>10.1016/j.hazadv.2025.100829</t>
  </si>
  <si>
    <t>Engineering, Environmental; Environmental Sciences</t>
  </si>
  <si>
    <t>Engineering; Environmental Sciences &amp; Ecology</t>
  </si>
  <si>
    <t>WOS:001540137200002</t>
  </si>
  <si>
    <t>Kim, HJ; Park, JJ; Lee, JS</t>
  </si>
  <si>
    <t>Kim, Hyeon Jin; Park, Jung Jun; Lee, Jung Sick</t>
  </si>
  <si>
    <t>Transformation of sperm structure in Octopus vulgaris: From spermatogenesis to spermatophoric release</t>
  </si>
  <si>
    <t>ELECTRON-MICROSCOPE; ULTRASTRUCTURE; SPERMIOGENESIS; CEPHALOPODA; SPERMATOZOA; ACROSOME; ELEDONE; MICROTUBULES; MOLLUSCA; ANNULUS</t>
  </si>
  <si>
    <t>The present study describes the differentiation process of male germ cells in Octopus vulgaris, the morphology of sperm in the testis and spermatophore, and the sperm released after the spermatophoric reaction. During spermatogenesis, the male sperm cell gradually elongates from a round shape, with cytoplasm shifting toward the head and the acrosome forming. Additionally, in the spermatid stage, the flagellum develops within the posterior nuclear channel and extends outside the cytoplasm. The sperm is composed of a head and a tail. The head is approximately 17.9 mu m long and consists of a highly electron-dense nucleus and a helical acrosome. The tail is divided into three parts: the mid-piece, principal-piece, and end-piece. The mid-piece forms a mitochondrial sheath with 7-8 mitochondria surrounding a 9+2 axoneme. The principal-piece is composed of an axoneme, outer dense fibers, and fibrous sheath, while the end piece lacks outer dense fibers or fibrous sheath. The sperm in the testis and spermatophore, and the sperm released after the spermatophoric reaction have the same structure. However, in the sperm located in the testis and spermatophore, the structure of the acrosome is unclear due to the presence of cytoplasm in the head. In contrast, sperm released after the spermatophoric reaction lack their cytoplasm, revealing the helical acrosome. This unique sperm morphology, adapted for internal fertilization, is thought to be advantageous for fertilization and long-term storage within the female reproductive system.</t>
  </si>
  <si>
    <t>[Kim, Hyeon Jin; Lee, Jung Sick] Chonnam Natl Univ, Dept Aqualife Med, Yeosu, South Korea; [Park, Jung Jun] Natl Inst Fisheries Sci, East Sea Fisheries Res Inst, Aquaculture Ind Res Div, Kangnung, South Korea</t>
  </si>
  <si>
    <t>Chonnam National University; National Institute of Fisheries Science</t>
  </si>
  <si>
    <t>National Institute of Fisheries Science of South Korea [R2025062]</t>
  </si>
  <si>
    <t>National Institute of Fisheries Science of South Korea</t>
  </si>
  <si>
    <t>This work was supported by a grant from the National Institute of Fisheries Science [R2025062] of South Korea.</t>
  </si>
  <si>
    <t>JAN 22</t>
  </si>
  <si>
    <t>e0316519</t>
  </si>
  <si>
    <t>10.1371/journal.pone.0316519</t>
  </si>
  <si>
    <t>WOS:001492214200039</t>
  </si>
  <si>
    <t>Bian, L; Qiao, Y; Yu, JW; Zhu, JC; Zhang, TS; Chang, Q; Chen, SQ</t>
  </si>
  <si>
    <t>Bian, Li; Qiao, Ying; Yu, Juanwen; Zhu, Jinchao; Zhang, Tianshi; Chang, Qing; Chen, Siqing</t>
  </si>
  <si>
    <t>Genome-wide characterization of chemosensory receptor genes in octopus and identification of key genes involved in paralarval benthic settlement</t>
  </si>
  <si>
    <t>Octopus sinensis; Merobenthic octopus; Paralarvae; Settlement; Chemosensory receptor</t>
  </si>
  <si>
    <t>VULGARIS; METAMORPHOSIS; ALIGNMENT; GROWTH; SURVIVAL; BIOLOGY; ZOEAE; LIFE; TOOL</t>
  </si>
  <si>
    <t>The high mortality rate during the benthic settlement process of Octopus sinensis paralarvae represents the primary technical bottleneck constraining the development of its aquaculture industry. The functional roles of chemical factors in this critical transitional phase are unknown. Considering the crucial role of chemosensory receptor genes in chemical factor perception, this study identified three classes of chemosensory receptor genes-Olfactory Receptors (ORs), Ionotropic Receptors (IRs), and Acetylcholine Receptors (ARs)-in both merobenthic species (O. sinensis, Octopus vulgaris) and holobenthic species (Octopus minor, Amphioctopus fangsiao). The results demonstrated that the number of chemosensory receptor genes identified in all species in this study was comparable. Tissue expression analysis revealed that IRs were widely expressed across multiple olfactionrelated organs, while the cephalopod-specific ARs were predominantly expressed in suckers and sucker epithelium. From hatching to adulthood, merobenthic paralarvae exhibited downregulation of nearly half of their chemosensory receptor genes, whereas holobenthic paralarvae showed only about 10 % gene downregulation, reflecting distinct chemosensory receptor expression patterns driven by divergent ecological adaptations between the hatchlings of these two life-history strategies. Based on the analysis of chemosensory receptor gene expression levels at different developmental stages of merobenthic paralarvae, RYamide receptor, Cholecystokinin receptor A (CCKAR), and Free fatty acid receptor 4 (FFAR4) were identified as potential key chemosensory receptor genes involved in the benthic settlement process. All three genes were functionally linked to feeding regulation, suggesting that chemical factors may regulate paralarval physiological functions related to feeding, thereby helping paralarvae conserve energy while awaiting the maturation of their nervous system and arm functionality, which would facilitate a successful transition to benthic settlement. This study laid a solid foundation for identifying key chemical factors involved in the benthic settlement process, which will contribute to breakthroughs in artificial seedling breeding techniques for O. sinensis and promote the development of its aquaculture industry.</t>
  </si>
  <si>
    <t>[Bian, Li; Yu, Juanwen; Zhu, Jinchao; Zhang, Tianshi; Chang, Qing; Chen, Siqing] Chinese Acad Fishery Sci, Yellow Sea Fisheries Res Inst, State Key Lab Mariculture Biobreeding &amp; Sustainabl, Qingdao 266071, Shandong, Peoples R China; [Bian, Li; Yu, Juanwen; Zhu, Jinchao; Zhang, Tianshi; Chang, Qing; Chen, Siqing] Qingdao Marine Sci &amp; Technol Ctr, Lab Marine Fisheries Sci &amp; Food Prod Proc, Qingdao 266237, Shandong, Peoples R China; [Qiao, Ying] Minist Nat Resources, Inst Oceanog 4, Key Lab Trop Marine Ecosyst &amp; Bioresource, Beihai 536015, Guangxi, Peoples R China</t>
  </si>
  <si>
    <t>Chinese Academy of Fishery Sciences; Yellow Sea Fisheries Research Institute, CAFS; Ministry of Natural Resources of the People's Republic of China; Fourth Institute of Oceanography, Ministry of Natural Resources</t>
  </si>
  <si>
    <t>Chen, SQ (corresponding author), Chinese Acad Fishery Sci, Yellow Sea Fisheries Res Inst, State Key Lab Mariculture Biobreeding &amp; Sustainabl, Qingdao 266071, Shandong, Peoples R China.</t>
  </si>
  <si>
    <t>chensq@ysfri.ac.cn</t>
  </si>
  <si>
    <t>DEC 30</t>
  </si>
  <si>
    <t>10.1016/j.aqrep.2025.103107</t>
  </si>
  <si>
    <t>WOS:001576793800001</t>
  </si>
  <si>
    <t>Maskrey, BH; Costas, C; Méndez-Martínez, L; Guerrero-Peña, L; Tur, R; García, P; Touriñan, P; Chavarrias, D; Canario, AV; Scott, AP; Rotllant, J</t>
  </si>
  <si>
    <t>Maskrey, Benjamin H.; Costas, Carolina; Mendez-Martinez, Luis; Guerrero-Pena, Laura; Tur, Ricardo; Garcia, Pablo; Tourinan, Pablo; Chavarrias, David; Canario, Adelino V.; Scott, Alex P.; Rotllant, Josep</t>
  </si>
  <si>
    <t>Studies on cortisol, corticosterone, and 17β-estradiol indicate these steroids have no role in stress or reproduction in the common octopus (Octopus vulgaris)</t>
  </si>
  <si>
    <t>AMERICAN JOURNAL OF PHYSIOLOGY-ENDOCRINOLOGY AND METABOLISM</t>
  </si>
  <si>
    <t>estradiol; corticosteroids; octopus; stress</t>
  </si>
  <si>
    <t>SEX STEROIDS; HORMONES; WATER; TESTOSTERONE; MUSSELS; PROTEIN; ASSAY</t>
  </si>
  <si>
    <t>The common octopus (Octopus vulgaris) is a promising candidate for aquaculture diversification, particularly in Europe. As interest in octopus farming grows, animal welfare concerns arise. In bony vertebrates (teleosts and tetrapods), measurements of the levels of corticosterone or cortisol have been successfully used as indicators of stress and welfare. Here, it is explored whether octopuses also produce cortisol or corticosterone and, if so, whether they are released into the water in response to stress (as can be done in teleosts and amphibians). The ability of the octopus to absorb cortisol from the water is also investigated-with another steroid, the principle vertebrate estrogen, 17 beta-estradiol (E-2), being used as a positive uptake control. In this study, using liquid chromatography tandem mass spectrometry techniques, it was found that octopus hemolymph did not contain either cortisol, corticosterone, cortisone (a common metabolite of cortisol), or E-2. Nor were any of the corticosteroids consistently found in the water in which stressed octopuses were held. The results support the evolutionary argument that octopuses are unlikely to exhibit a stress response mediated by vertebrate-like corticosteroids. Octopus demonstrated a low ability to absorb cortisol from the water (&lt;2% over 24 h) but showed a high ability to absorb E-2 from water (92% over 24 h). In this latter respect, the octopus is similar to other mollusks. The finding calls into doubt the origin of the E-2 measured in this species. NEW &amp; NOTEWORTHY This study demonstrates that common octopuses (Octopus vulgaris Cuvier 1797) do not produce cortisol, cortisone, or corticosterone in response to stress. Using liquid chromatography tandem mass spectrometry, it was also shown that octopuses have a low absorption rate of cortisol from water but a high absorption rate of 17 beta-estradiol (E2). The findings support the evolutionary argument that octopuses are unlikely to exhibit a stress response mediated by vertebrate-like corticosteroids.</t>
  </si>
  <si>
    <t>[Maskrey, Benjamin H.; Scott, Alex P.] Ctr Environm Fisheries &amp; Aquaculture Sci CEFAS, Weymouth Lab, Weymouth, England; [Costas, Carolina; Mendez-Martinez, Luis; Guerrero-Pena, Laura; Rotllant, Josep] CSIC, Inst Invest Marinas, Aquat Biotechnol Lab, Vigo, Spain; [Tur, Ricardo; Garcia, Pablo; Tourinan, Pablo; Chavarrias, David] Pescanova Biomarine Ctr, Pontevedra, Spain; [Canario, Adelino V.] Univ Algarve, Ctr Ciencias Mar Algarve CCMAR CIMAR, Faro, Portugal</t>
  </si>
  <si>
    <t>Centre for Environment Fisheries &amp; Aquaculture Science; Consejo Superior de Investigaciones Cientificas (CSIC); CSIC - Instituto de Investigaciones Marinas (IIM); Universidade do Algarve</t>
  </si>
  <si>
    <t>Rotllant, J (corresponding author), CSIC, Inst Invest Marinas, Aquat Biotechnol Lab, Vigo, Spain.</t>
  </si>
  <si>
    <t>rotllant@iim.csic.es</t>
  </si>
  <si>
    <t>Centro para el Desarrollo Tecnologico y la Innovacion de (CDTI-E.P.E.); Ministerio de Ciencia e Innovacion y Universidades del Gobierno de Espana [IDI-20210907]; CSIC special intramural projects [202340E076]; MCIN/AEI [PID2021-1236511OB-100]; ERDF A way of making Europe; European Union or by the European Union Next Generation EU/ PRTR; Cefas Seedcorn [SCN975]</t>
  </si>
  <si>
    <t>Centro para el Desarrollo Tecnologico y la Innovacion de (CDTI-E.P.E.); Ministerio de Ciencia e Innovacion y Universidades del Gobierno de Espana; CSIC special intramural projects(Consejo Superior de Investigaciones Cientificas (CSIC)); MCIN/AEI(Spanish Government); ERDF A way of making Europe; European Union or by the European Union Next Generation EU/ PRTR; Cefas Seedcorn</t>
  </si>
  <si>
    <t>This study was supported by Centro para el Desarrollo Tecnologico y la Innovacion de (CDTI-E.P.E.) belonging to the Ministerio de Ciencia e Innovacion y Universidades del Gobierno de Espana (Reference: IDI-20210907) and CSIC special intramural projects (Reference: 202340E076) to J.R. C.C. was supported by MCIN/AEI/10.13039/501100011033 (PID2021-1236511OB-100) and, as appropriate, by ERDF A way of making Europe, by the European Union or by the European Union Next Generation EU/ PRTR. B.H.M. was supported by Cefas Seedcorn project SCN975.</t>
  </si>
  <si>
    <t>JAN 11</t>
  </si>
  <si>
    <t>E105</t>
  </si>
  <si>
    <t>E115</t>
  </si>
  <si>
    <t>10.1152/ajpendo.00251.2024</t>
  </si>
  <si>
    <t>Endocrinology &amp; Metabolism; Physiology</t>
  </si>
  <si>
    <t>WOS:001486691900001</t>
  </si>
  <si>
    <t>Pérez-Polo, S; Costa, MM; Chil, G; Martínez, X; Gestal, C</t>
  </si>
  <si>
    <t>Perez-Polo, Sara; Costa, Maria M.; Chil, Guillermo; Martinez, Xoan; Gestal, Camino</t>
  </si>
  <si>
    <t>Promoting welfare in the common octopus, Octopus vulgaris: Development of a non-invasive strategy for monitoring Aggregata octopiana parasite load by real-time quantitative PCR (qPCR)</t>
  </si>
  <si>
    <t>AQUACULTURE</t>
  </si>
  <si>
    <t>Absolute qPCR; Non-invasive method; Aggregata octopiana; Animal welfare; OWI</t>
  </si>
  <si>
    <t>OCTOPUS OCTOPUS-VULGARIS; QUANTIFICATION; PLASMID; INFORMATION; APICOMPLEXA; GUIDELINES; PROTISTA; ABSOLUTE; GROWTH; CUVIER</t>
  </si>
  <si>
    <t>The identification of welfare biomarkers is essential for the proper maintenance of the common octopus in aquarium systems, as well as for the establishment of a new sustainable aquaculture for this species, ensuring animal welfare. This strategy requires the development of techniques and procedures to monitor and analyze their health status. In the present work, a non-invasive method based on the study of faecal samples using quantitative real time PCR (qPCR) has been developed and validated by comparison with light microscopy analysis, to detect and quantify the gastrointestinal coccidian parasite Aggregata octopiana. This method allows for obtaining rapid, cheap, easy and reliable information on the presence of the parasite in aquarium-maintained animals, as well as quantifying their parasite load. The proposed methodology generates the minimal impact on the individuals, allowing for an early detection of the parasite infection, and, therefore, ensuring their welfare. In addition, a reference system for estimating the degree of A. octopiana infection (low, medium, and high) has been established. These characteristics make this non-invasive methodology an excellent candidate as an Operational Welfare Indicator (OWI).</t>
  </si>
  <si>
    <t>[Costa, Maria M.; Chil, Guillermo; Gestal, Camino] CSIC, Inst Invest Marinas IIM, Eduardo Cabello 6, Vigo 36208, Spain</t>
  </si>
  <si>
    <t>Consejo Superior de Investigaciones Cientificas (CSIC); CSIC - Instituto de Investigaciones Marinas (IIM)</t>
  </si>
  <si>
    <t>Gestal, C (corresponding author), CSIC, Inst Invest Marinas IIM, Eduardo Cabello 6, Vigo 36208, Spain.</t>
  </si>
  <si>
    <t>Ministerio de Ciencia e Innovacion; Xunta de Galicia; European Union NextGenerationEU [PRTR-C17sdot;I1]; European Maritime and Fisheries Fund; JAE Intro research grant</t>
  </si>
  <si>
    <t>Ministerio de Ciencia e Innovacion(Instituto de Salud Carlos IIISpanish Government); Xunta de Galicia(Xunta de Galicia); European Union NextGenerationEU(European Union (EU)); European Maritime and Fisheries Fund; JAE Intro research grant</t>
  </si>
  <si>
    <t>This study was made possible thanks to the hard work of the IIM aquarium team composed by Ana Isabel Alonso Perez, Felix Alvarez and Ruben Chamorro Valverde. This study forms part of the Marine Science Programme (ThinkInAzul) supported by Ministerio de Ciencia e Innovacion and Xunta de Galicia with funding from European Union NextGenerationEU (PRTR-C17 &amp; sdot;I1) and European Maritime and Fisheries Fund, and JAE Intro research grant within the framework of the Junta para la Ampliacion de Estudios 2021 programme.</t>
  </si>
  <si>
    <t>10.1016/j.aquaculture.2025.742643</t>
  </si>
  <si>
    <t>WOS:001488105600001</t>
  </si>
  <si>
    <t>Rich, AF; Payne, IL; Stidworthy, MF</t>
  </si>
  <si>
    <t>Rich, Andrew F.; Payne, Imogen L.; Stidworthy, Mark F.</t>
  </si>
  <si>
    <t>Coccidiosis in an aquarium-managed common octopus (Octopus vulgaris): classical macroscopic and histologic features.</t>
  </si>
  <si>
    <t>BULLETIN OF THE EUROPEAN ASSOCIATION OF FISH PATHOLOGISTS</t>
  </si>
  <si>
    <t>Octopus; Octopus vulgaris; Coccidiosis; Aggregata; Pathology; Histology</t>
  </si>
  <si>
    <t>AGGREGATA-OCTOPIANA; APICOMPLEXA AGGREGATIDAE; CEPHALOPODA; PARASITES; MOLLUSCA; EBERTHI</t>
  </si>
  <si>
    <t>Coccidiosis is the most prevalent disease in octopuses under human care; however, detailed macroscopic and histological examinations illustrating its hallmark features are scarce. This report presents a classic case of severe coccidiosis in an aquarium-derived formalin-fixed common octopus (Octopus vulgaris) as an educational resource for veterinarians working in aquatic medicine.</t>
  </si>
  <si>
    <t>[Rich, Andrew F.] Int Zoo Vet Grp IZVG, Stn House,Parkwood St, Keighley BD21 4NQ, West Yorkshire, England; [Payne, Imogen L.] Holly House Vet Hosp, 468 St Lane, Leeds LS17 6HA, England; [Stidworthy, Mark F.] Int Zoo Vet Grp IZVG, Stn House,Parkwood St, Keighley BD21 4NQ, West Yorks, England</t>
  </si>
  <si>
    <t>International Zoo Veterinary Group (UK); International Zoo Veterinary Group (UK)</t>
  </si>
  <si>
    <t>Rich, AF (corresponding author), Int Zoo Vet Grp IZVG, Stn House,Parkwood St, Keighley BD21 4NQ, West Yorkshire, England.</t>
  </si>
  <si>
    <t>10.48045/001c.140570</t>
  </si>
  <si>
    <t>WOS:001641106300001</t>
  </si>
  <si>
    <t>Capillo, G; Albano, M; D'Iglio, C; Famulari, S; Di Fresco, D; Spanò, N; Savoca, S</t>
  </si>
  <si>
    <t>Capillo, Gioele; Albano, Marco; D'Iglio, Claudio; Famulari, Sergio; Di Fresco, Dario; Spano, Nunziacarla; Savoca, Serena</t>
  </si>
  <si>
    <t>Evidence of uses of marine litter by Mediterranean Cephalopoda</t>
  </si>
  <si>
    <t>marine litter; Cephalopoda; recreational fisheries; interactions; behavioral responses</t>
  </si>
  <si>
    <t>CUTTLEFISH SEPIA-OFFICINALIS; OCTOPUS-VULGARIS MOLLUSCA; DEEP-SEA; ECOLOGY; LIFE; AVAILABILITY; SELECTION; SURVIVAL; BOTTOMS; DEBRIS</t>
  </si>
  <si>
    <t>Understanding the interaction between marine biota and marine litter is essential to comprehend how organisms face the continuous alteration of their habitats due to anthropogenic pressure. The evidence here reported, based on both direct in situ observations and citizen science obtained information, refer to the interactions between two Mediterranean Cephalopoda species and marine litter in natural environments, and, more specifically, between: i) Octopus vulgaris and a plastic bin used for laying eggs inside, ii) Sepia officinalis and an artificial Egi lure, used for oviposition, iii) another specimen of O. vulgaris and an artificial lure, used for den enhancing. This highlights marine litter presence, probably joint with the scarcity of natural substrates, could lead to a behavioural adaptation of the species in responding to the reproductive stimulus, especially in the case of semelparous species. Based on these individual observations it is undoubtedly of crucial importance improving the knowledge base on the relationship between marine biota - marine litter and effects on marine animals and offspring.</t>
  </si>
  <si>
    <t>[Capillo, Gioele; D'Iglio, Claudio; Famulari, Sergio; Di Fresco, Dario; Spano, Nunziacarla; Savoca, Serena] Univ Messina, Dept Chem Biol Pharmaceut &amp; Environm Sci, Messina, Italy; [Capillo, Gioele; Spano, Nunziacarla; Savoca, Serena] Sea Hlth &amp; Life SRL, Dept Chem Biol Pharmaceut &amp; Environm Sci, Messina, Italy; [Albano, Marco] Univ Messina, Dept Vet Sci, Messina, Italy</t>
  </si>
  <si>
    <t>University of Messina; University of Messina</t>
  </si>
  <si>
    <t>Albano, M (corresponding author), Univ Messina, Dept Vet Sci, Messina, Italy.</t>
  </si>
  <si>
    <t>marco.albano@unime.it</t>
  </si>
  <si>
    <t>DEC 24</t>
  </si>
  <si>
    <t>10.3389/fmars.2024.1519412</t>
  </si>
  <si>
    <t>WOS:001390467100001</t>
  </si>
  <si>
    <t>Kamei, Y; Dan, S; Takeshima, S; Sakiyama, K; Ito, A; Sekizawa, A; Hamasaki, K</t>
  </si>
  <si>
    <t>Kamei, Yoshinori; Dan, Shigeki; Takeshima, Satoshi; Sakiyama, Kazuaki; Ito, Atsushi; Sekizawa, Ayami; Hamasaki, Katsuyuki</t>
  </si>
  <si>
    <t>Factors affecting survival and growth of the East Asian common octopus ( Octopus sinensis) paralarvae reared from hatching to settlement in upwelling tanks at different scales of mass production</t>
  </si>
  <si>
    <t>Hatchling size; Mass-scale production; Octopus aquaculture; Octopus sinensis; Paralarval rearing; Water temperature</t>
  </si>
  <si>
    <t>VULGARIS PARALARVAE; ARTEMIA; CUVIER; ZOEAE; LARVAL; SIZE; LIFE</t>
  </si>
  <si>
    <t>There is an ever-increasing global demand for aquaculture of common octopuses. Rearing technology for paralarvae of the East Asian common octopus (Octopus sinensis) has been recently improved by developing an upwelling rearing system in combination with supplying zoeae of the swimming crab (Portunus trituberculatus) as feed. However, this is still at a laboratory scale (1 kL water volume), and optimal rearing conditions are still unknown. Trials with a pilot large-scale system are here compared with the performance of a successful smallscale system. To investigate optimal rearing conditions for paralarvae, relationships between rearing parameters and paralarval survival and growth were analyzed using the data from 28 experimental laboratory-scale rearing trials of paralarvae conducted in three different research institutes. A large upwelling system was constructed using two adjacent rectangular tanks (8 kL volume each, 16 kL maximum capacity): one containing paralarvae; the other used as a server tank. Two water inflow pipes were installed in the rearing tank to produce steady upwelling. This system produced between 2505 and 4694 settled juveniles over three trials. The survival rate (15, 20, and 64 %) did not differ from the results using small 1 kL systems. Throughout the 28 trials, there was a total yield of 26,213 settled juveniles at a survival rate of 63.8 +/- 23.2 % (range 15-96 %). There was no particular factor affecting paralarval survival and growth during the first half of the rearing period (P1). A high water temperature (24.4 degrees C) improved survival rate during both the total (PT) and second half of the paralarval rearing period (P2), as well as growth rate during PT, when compared to lower water temperature (22.1 degrees C). The amount of zoeae of P. trituberculatus supplied negatively affected the survival rate during P2 and PT, suggesting that excess food supply may reduce paralarval survival due to nutritional degradation of uneaten zoeae remaining in the rearing tanks. Paralarval size at hatching did not affect the growth rate, but there was a significant positive correlation between hatchling size and size-at-age of reared octopuses. These results indicate that the upwelling system for rearing paralarvae of O. sinensis can be scaled up even using large rectangular tanks by introducing multiple water inflow pipes, and that paralarval survival and growth can be improved by using large hatchlings, a water temperature at 24-25 degrees C, and a closely monitored optimal supply of healthy zoeae.</t>
  </si>
  <si>
    <t>[Kamei, Yoshinori] Res Inst Fisheries Sci, Okayama Prefectural Technol Ctr Agr Forestry &amp; Fis, Setouchi, Okayama 7014303, Japan; [Dan, Shigeki; Hamasaki, Katsuyuki] Tokyo Univ Marine Sci &amp; Technol, Dept Marine Biosci, Minato, Tokyo 1088477, Japan; [Takeshima, Satoshi; Ito, Atsushi; Sekizawa, Ayami] Japan Fisheries Res &amp; Educ Agcy, Aquaculture Res Dept, Fisheries Technol Inst, Prod Engn Div, Hiroshima 7220061, Japan; [Sakiyama, Kazuaki] Oita Prefectural Agr Forestry &amp; Fisheries Res Ctr, Fisheries Res Div, Bungo Takada, Oita 8790608, Japan</t>
  </si>
  <si>
    <t>Tokyo University of Marine Science &amp; Technology; Japan Fisheries Research &amp; Education Agency (FRA)</t>
  </si>
  <si>
    <t>Kamei, Y (corresponding author), Res Inst Fisheries Sci, Okayama Prefectural Technol Ctr Agr Forestry &amp; Fis, Setouchi, Okayama 7014303, Japan.</t>
  </si>
  <si>
    <t>yoshinori_kamei@pref.okayama.lg.jp</t>
  </si>
  <si>
    <t>Bio-oriented Technology Research Advancement Institution (BRAIN) [JPJ007097]</t>
  </si>
  <si>
    <t>Bio-oriented Technology Research Advancement Institution (BRAIN)</t>
  </si>
  <si>
    <t>We thank the staff of the three research institutes for their technical support with paralarval rearing trials, and Ian G. Gleadall (AiCeph LLC, Sendai) for assistance in preparing the manuscript and valuable advice. We are also grateful to the editors and anonymous reviewers for valuable comments and suggestions, which have improved the manuscript. This research was supported by the research program on development of innovative technology grants from the Project of the Bio-oriented Technology Research Advancement Institution (BRAIN) under Grant Number JPJ007097.</t>
  </si>
  <si>
    <t>MAR 15</t>
  </si>
  <si>
    <t>10.1016/j.aquaculture.2024.741958</t>
  </si>
  <si>
    <t>DEC 2024</t>
  </si>
  <si>
    <t>WOS:001377406800001</t>
  </si>
  <si>
    <t>Oubahaouali, B; Kaddouri, A; Aksissou, M</t>
  </si>
  <si>
    <t>Oubahaouali, B.; Kaddouri, A.; Aksissou, M.</t>
  </si>
  <si>
    <t>Aspects of the reproductive biology of the common Octopus vulgaris from landings in the coastal trawl and artisanal fleets in the Atlantic waters of southern Morocco</t>
  </si>
  <si>
    <t>AFRICAN JOURNAL OF MARINE SCIENCE</t>
  </si>
  <si>
    <t>cephalopod; mantle length; sex ratio; sexual maturity; size at first sexual maturity; weight</t>
  </si>
  <si>
    <t>CEPHALOPODA; FISHERIES; PATTERNS; CUVIER; CYCLE; GULF</t>
  </si>
  <si>
    <t>An investigation of aspects of the reproductive biology of the common octopus Octopus vulgaris caught in the Atlantic waters of southern Morocco was undertaken in 2020. The study focused on the demographic structure and sexual maturity of O. vulgaris by sampling landings of the coastal trawl and artisanal fleets active in the study area between Sidi El Ghazi and Cap Blanc. The artisanal fleet exploited mainly medium-sized individuals (on the commercial grade 'Mitsubishi' scale) as T5 (&gt;1.2-1.5 kg) to T3 (&gt;2.0-3.0 kg), whereas coastal trawlers tended to exploit smaller individuals in size classes T8 (&gt;0.3-0.5 kg) to T6 (&gt;0.8-0.2 kg). The sex ratio of the catches was significantly different between the coastal trawl and artisanal fleets (p = 0.043), being in favour of males in the landings of coastal trawlers (1.14:1 M:F) and in favour of females in the artisanal fleet (0.91:1 M:F). Size at first maturity of this species in the study area, denoted by dorsal length of the mantle and weight, respectively, was 14.98 cm and 370.56 g for males, and 15.75 cm and 563.08 g for females.</t>
  </si>
  <si>
    <t>[Oubahaouali, B.; Kaddouri, A.; Aksissou, M.] Abdelmalek Essaadi Univ, Fac Sci, CNRST Labelled Res Unit, Lab Ecol Systemat Conservat Biodivers LESCB, Tetouan, Morocco</t>
  </si>
  <si>
    <t>Oubahaouali, B (corresponding author), Abdelmalek Essaadi Univ, Fac Sci, CNRST Labelled Res Unit, Lab Ecol Systemat Conservat Biodivers LESCB, Tetouan, Morocco.</t>
  </si>
  <si>
    <t>oubahaoualibrahim@gmail.com</t>
  </si>
  <si>
    <t>OCT 1</t>
  </si>
  <si>
    <t>10.2989/1814232X.2024.2424249</t>
  </si>
  <si>
    <t>WOS:001375063100001</t>
  </si>
  <si>
    <t>Tiralongo, F; Nota, A; Di Pasquale, C; Muccio, E; Felici, A</t>
  </si>
  <si>
    <t>Tiralongo, Francesco; Nota, Alessandro; Di Pasquale, Costanza; Muccio, Eliana; Felici, Alberto</t>
  </si>
  <si>
    <t>Trophic Interactions of Callinectes sapidus (Blue Crab) in Vendicari Nature Reserve (Central Mediterranean, Ionian Sea) and First Record of Penaeus aztecus (Brown Shrimp)</t>
  </si>
  <si>
    <t>DIVERSITY-BASEL</t>
  </si>
  <si>
    <t>invasive alien species; protected area; LEK (local ecological knowledge); coastal environments; feeding habits</t>
  </si>
  <si>
    <t>BRACHYURA PORTUNIDAE; DECAPODA PENAEIDAE; RATHBUN; IVES; DIET; CRUSTACEA; HABITATS</t>
  </si>
  <si>
    <t>Invasive alien species pose severe threats to global biodiversity, ecosystem functions, and socio-economic values, particularly in coastal and marine ecosystems. This study aimed to investigate the trophic interactions between alien species and native fauna in a Mediterranean coastal ecosystem. Notably, our research focused on the presence and ecological roles of the invasive Atlantic blue crab (Callinectes sapidus) and the brown shrimp (Penaeus aztecus) within the Vendicari Nature Reserve (VNR), a protected area on the southeastern coast of Sicily, Italy. Field observations, specimen collection, and interviews with local fishermen were conducted to assess the presence, distribution, and feeding habits of these species. The results revealed significant temporal shifts in the diet of C. sapidus, with a clear decrease in predation on the alien Penaeus aztecus (first observed in the VNR) over the study months. The presence of C. sapidus in the fishing area around the reserve has been detected for many years, while P. aztecus appears to have recently colonized the area. Additionally, photographic evidence documented the predation of C. sapidus by Octopus vulgaris, highlighting a potential adaptive feeding behavior by the common octopus in response to the abundance of this invasive crab. The integration of scientific research, local ecological knowledge, and community participation is essential for mitigating the impacts of biological invasions and preserving the biodiversity and ecological integrity of natural ecosystems.</t>
  </si>
  <si>
    <t>[Tiralongo, Francesco] Univ Catania, Dept Biol Geol &amp; Environm Sci, I-95124 Catania, Italy; [Tiralongo, Francesco; Nota, Alessandro; Di Pasquale, Costanza; Muccio, Eliana] Ente Fauna Marina Mediterranea Sci Org Res &amp; Conse, I-96012 Avola, Italy; [Tiralongo, Francesco] CNR, Inst Biol Resources &amp; Marine Biotechnol, I-60125 Ancona, Italy; [Nota, Alessandro] Univ Pavia, Dept Biol &amp; Biotechnol Lazzaro Spallanzani, I-27100 Pavia, Italy; [Felici, Alberto] Univ Camerino, Sch Biosci &amp; Vet Med, I-62024 Matelica, Italy</t>
  </si>
  <si>
    <t>University of Catania; Consiglio Nazionale delle Ricerche (CNR); Istituto per le Risorse Biologiche Biotecnologie Marine (IRBIM-CNR); University of Pavia; University of Camerino</t>
  </si>
  <si>
    <t>Tiralongo, F (corresponding author), Univ Catania, Dept Biol Geol &amp; Environm Sci, I-95124 Catania, Italy.;Tiralongo, F; Nota, A (corresponding author), Ente Fauna Marina Mediterranea Sci Org Res &amp; Conse, I-96012 Avola, Italy.;Tiralongo, F (corresponding author), CNR, Inst Biol Resources &amp; Marine Biotechnol, I-60125 Ancona, Italy.;Nota, A (corresponding author), Univ Pavia, Dept Biol &amp; Biotechnol Lazzaro Spallanzani, I-27100 Pavia, Italy.</t>
  </si>
  <si>
    <t>francesco.tiralongo@unict.it; alessandro.nota@conted.ox.ac.uk; costanzadip937@gmail.com; elianamuccio@outlook.it; alberto.felici@unicam.it</t>
  </si>
  <si>
    <t>Research Fund University of Camerino; Project MABLuC (Management of the Atlantic Blue Crab); [000014]; [ID-653/2021]</t>
  </si>
  <si>
    <t>Research Fund University of Camerino; Project MABLuC (Management of the Atlantic Blue Crab); ;</t>
  </si>
  <si>
    <t>Project MABLuC (Management of the Atlantic Blue Crab), founded by the Research Fund University of Camerino; FAR UNICAM cod. 000014, project ID-653/2021, under the coordination of Prof. Alberto Felici.</t>
  </si>
  <si>
    <t>10.3390/d16120724</t>
  </si>
  <si>
    <t>Biodiversity Conservation; Ecology</t>
  </si>
  <si>
    <t>Biodiversity &amp; Conservation; Environmental Sciences &amp; Ecology</t>
  </si>
  <si>
    <t>WOS:001384948700001</t>
  </si>
  <si>
    <t>Mazza, V; Pacchiarotti, G; Strinati, C; Carlini, A; Mather, JA; Carere, C</t>
  </si>
  <si>
    <t>Mazza, Valeria; Pacchiarotti, Giulia; Strinati, Claudia; Carlini, Alessandro; Mather, Jennifer A.; Carere, Claudio</t>
  </si>
  <si>
    <t>Personality dimensions in the common octopus(Octopus vulgaris)</t>
  </si>
  <si>
    <t>BEHAVIOUR</t>
  </si>
  <si>
    <t>animal personality; behavioural consistency; cephalopods; coping styles; welfare</t>
  </si>
  <si>
    <t>OCTOPUS CONSCIOUSNESS; BEHAVIORAL SYNDROMES; ANIMAL-WELFARE; TRAITS; REPEATABILITY; EVOLUTIONARY; CONSEQUENCES; BOLDNESS; ECOLOGY; STRESS</t>
  </si>
  <si>
    <t>Understanding the origin, universality, and maintenance of among-individual variation in behaviouris a current focus of behavioural ecology and comparative psychology. Research on animal person-ality emphasising the central role of the individual contributes to conservation efforts and animalwelfare by tailoring guidelines and interventions at the individual level. Cephalopods are under-studied in this respect, despite being the only invertebrate group currently included in internationaldirectives for the protection of animals used for scientific purposes. Here, we assessed among-individual variation in behavioural responses (i.e., animal personality) of 21 common octopuses(Octopus vulgaris) temporarily kept in captivity. We performed a battery of tests across threedifferent experimental contexts, namely a Startle test, a Foraging test, and a Disturbance test,each repeated for four consecutive days, adapting established protocols from other cephalopods.Behavioural variables were moderately repeatable. Results of a principal component analysisrevealed a three-component structure, with components we labelled Alertness, Exploration, andBoldness. The components were also moderately repeatable. The components Exploration andBoldness predicted each other across experimental contexts, suggesting a behavioural syndrome.Overall, findings indicate marked individual differences in common octopuses, and provide evi-dence of personality dimensions in a widely used animal model in neurophysiology and cognition.Our findings thus contribute to the study of the evolution of personality structure from a compara-tive perspective, and may help individual-level welfare refinement.</t>
  </si>
  <si>
    <t>[Mazza, Valeria; Pacchiarotti, Giulia; Strinati, Claudia; Carlini, Alessandro; Carere, Claudio] Univ Tuscia, Dept Biol &amp; Ecol Sci, Largodell Univ,snc, I-01100 Viterbo, Italy; [Mather, Jennifer A.] Univ Lethbridge, Dept Psychol, Sci Commons, 4401 Univ Dr, Lethbridge, AB T1K 3M4, Canada</t>
  </si>
  <si>
    <t>Tuscia University; University of Lethbridge</t>
  </si>
  <si>
    <t>Mazza, V (corresponding author), Univ Tuscia, Dept Biol &amp; Ecol Sci, Largodell Univ,snc, I-01100 Viterbo, Italy.</t>
  </si>
  <si>
    <t>valeria.mazza@unitus.it</t>
  </si>
  <si>
    <t>13-15</t>
  </si>
  <si>
    <t>10.1163/1568539X-bja10290</t>
  </si>
  <si>
    <t>Behavioral Sciences; Zoology</t>
  </si>
  <si>
    <t>WOS:001379767900003</t>
  </si>
  <si>
    <t>Fee, GN; Roura, A; Emami-Khoyi, A; Teske, PR</t>
  </si>
  <si>
    <t>Fee, Gareth N.; Roura, Alvaro; Emami-Khoyi, Arsalan; Teske, Peter R.</t>
  </si>
  <si>
    <t>The complete mitochondrial genome of Octopus vulgaris</t>
  </si>
  <si>
    <t>MOLECULAR BIOLOGY REPORTS</t>
  </si>
  <si>
    <t>Octopus vulgaris; Common octopus; Mitogenome; Northeastern Atlantic; Phylogeny; Cephalopoda</t>
  </si>
  <si>
    <t>CEPHALOPODA OCTOPODIDAE; SEQUENCE; DNA; MITOGENOME</t>
  </si>
  <si>
    <t>Background The Octopus vulgaris species complex consists of numerous morphologically similar but genetically distinct species. The current publicly available mitogenome of this species has been generated from a specimen collected from Tsukiji Fish Market, Tokyo, Japan. Octopus from the northwestern Pacific Ocean are now considered to be a separate species, Octopus sinensis. For this reason, we hypothesised that the current record of O. vulgaris was sequenced from a specimen of O. sinensis. Here, we sequenced the first complete mitogenome of a specimen of Octopus vulgaris sensu stricto that was collected from the species' confirmed distribution areas in northeastern Atlantic.Methods and results The complete mitogenome was assembled de novo and annotated using 250 bp paired-end sequences. A single circular contig 15,655 bp in length with a mean read coverage of 1089 reads was reconstructed. The annotation pipeline identified 13 protein-coding genes (PCGs), 22 transfer RNAs (tRNA) and two ribosomal RNAs. A maximum likelihood phylogenetic tree recovered the assembled mitogenome as the sister taxon of a monophyletic group comprising O. sinensis and the previously published mitogenome of O. vulgaris from Japan. This confirms that the latter was a Japanese specimen of O. sinensis.Conclusion The mitogenome sequenced here is the first to be published for Octopus vulgaris sensu stricto. It represents an important first step in genetics-informed research on the evolution, conservation, and management of this commercially important species.</t>
  </si>
  <si>
    <t>[Fee, Gareth N.] Univ Cape Town, Dept Biol Sci, Cape Town, South Africa; [Roura, Alvaro] Inst Invest Marinas Punta Betin, Dept Ecol &amp; Biodivers Marina, Vigo, Spain; [Emami-Khoyi, Arsalan; Teske, Peter R.] Univ Johannesburg, Dept Zool, Auckland Pk, South Africa</t>
  </si>
  <si>
    <t>University of Cape Town; Consejo Superior de Investigaciones Cientificas (CSIC); CSIC - Instituto de Investigaciones Marinas (IIM); University of Johannesburg</t>
  </si>
  <si>
    <t>Fee, GN (corresponding author), Univ Cape Town, Dept Biol Sci, Cape Town, South Africa.</t>
  </si>
  <si>
    <t>garethfee@gmail.com</t>
  </si>
  <si>
    <t>University of Johannesburg</t>
  </si>
  <si>
    <t>University of Johannesburg(University of Johannesburg)</t>
  </si>
  <si>
    <t>No Statement Available</t>
  </si>
  <si>
    <t>10.1007/s11033-023-08984-3</t>
  </si>
  <si>
    <t>Biochemistry &amp; Molecular Biology</t>
  </si>
  <si>
    <t>WOS:001126365700003</t>
  </si>
  <si>
    <t>Vilarnau, DG; Fernández-Alvarez, FA; Coll-Lladó, M; Gritti, N; Swoger, J; Villanueva, R</t>
  </si>
  <si>
    <t>Vilarnau, Diego G.; Fernandez-Alvarez, Fernando A.; Coll-Llado, Montserrat; Gritti, Nicola; Swoger, Jim; Villanueva, Roger</t>
  </si>
  <si>
    <t>Ontogenetic and evolutionary trends on cephalopod digestive systems</t>
  </si>
  <si>
    <t>REVIEWS IN FISH BIOLOGY AND FISHERIES</t>
  </si>
  <si>
    <t>Development; Comparative morphology; 3D imaging; Light sheet fluorescence microscopy; Cephalopoda; Mollusca</t>
  </si>
  <si>
    <t>OCTOPUS-VULGARIS CUVIER; SEPIA-OFFICINALIS; EXTERNAL DIGESTION; BEAK DEVELOPMENT; SPECIAL FOCUS; GROWTH; PARALARVAE; CUTTLEFISH; MOLLUSCA; RESPIRATION</t>
  </si>
  <si>
    <t>Meropelagic octopuses hatch as planktonic paralarvae, being the subject of progressive morphological and behavioural changes ending with settlement on the seafloor as juveniles. The comparative morphological study of digestive systems can help to understand the adaptation to particular niches during this challenging plankton-benthos transition. Here, the morphometric development of the digestive system of the common octopus (Octopus vulgaris) is described through 3D microscopy techniques over the first two months of life. This morphological development is compared with those of adults and the holobenthic cuttlefish Sepia officinalis, as well as with the holopelagic squids Loligo vulgaris and Illex coindetii. Based on present and published results, we suggest four stages for the early development of O. vulgaris: (1) post embryonic, (2) early paralarval, (3) advanced paralarval and (4) early juvenile. The digestive system development was variable over time, with faster growth during the first days of planktonic life and after settlement. All the paralarvae-bearing species showed very proportionally enlarged posterior salivary glands at hatching compared both to more developed conspecifics and to the cuttlefish hatchling. This could reflect a potential common feeding mechanism through external digestion and probably a compensatory mechanism for an early digestive gland underperformance. The proportionally smallest digestive system has been found in L. vulgaris, mainly because of their remarkably smaller digestive glands. All species showed major changes in digestive organs between hatchlings and developed phases, indicating how different ecological contexts over ontogeny are reflected in their digestive structures.</t>
  </si>
  <si>
    <t>[Vilarnau, Diego G.; Fernandez-Alvarez, Fernando A.; Villanueva, Roger] CSIC, Inst Ciencies Mar, Passeig Maritim Barceloneta 37-49, Barcelona 08003, Spain; [Coll-Llado, Montserrat; Gritti, Nicola; Swoger, Jim] European Mol Biol Lab, Mesoscop Imaging Facil, Doctor Aiguader 88, Barcelona 08003, Spain</t>
  </si>
  <si>
    <t>CSIC - Centro Mediterraneo de Investigaciones Marinas y Ambientales (CMIMA); CSIC - Instituto de Ciencias del Mar (ICM); Consejo Superior de Investigaciones Cientificas (CSIC); CSIC - Instituto de Ciencias del Mar (ICM); European Molecular Biology Laboratory (EMBL)</t>
  </si>
  <si>
    <t>Vilarnau, DG (corresponding author), CSIC, Inst Ciencies Mar, Passeig Maritim Barceloneta 37-49, Barcelona 08003, Spain.</t>
  </si>
  <si>
    <t>diegogv@icm.csic.es</t>
  </si>
  <si>
    <t>CRUE-CSIC; Springer Nature; Spanish Ministry of Science, Innovation and Universities [RTI2018-097908-B-I00, PID2021-126824NB-C32]; Spanish government through the Severo Ochoa Center of Excellence accreditation [CEX2019-000928-S]; MICIU/AEI; FSE + [PRE2022-101292]; Beatriu de Pinos fellowship from Secretaria d'Universitats i Recerca del Departament de Recerca i Universitats of the Generalitat de Catalunya [BP 2021 00035]</t>
  </si>
  <si>
    <t>CRUE-CSIC(Consejo Superior de Investigaciones Cientificas (CSIC)); Springer Nature; Spanish Ministry of Science, Innovation and Universities(Spanish Government); Spanish government through the Severo Ochoa Center of Excellence accreditation; MICIU/AEI(Spanish Government); FSE +(European Social Fund (ESF)); Beatriu de Pinos fellowship from Secretaria d'Universitats i Recerca del Departament de Recerca i Universitats of the Generalitat de Catalunya(Generalitat de Catalunya)</t>
  </si>
  <si>
    <t>Open Access funding provided thanks to the CRUE-CSIC agreement with Springer Nature. Project funding was provided by the Spanish Ministry of Science, Innovation and Universities (OCTOSET project RTI2018-097908-B-I00; ECOPHYN project PID2021-126824NB-C32; MCIU/AEI/FEDER, EU), and the Spanish government through the Severo Ochoa Center of Excellence accreditation (CEX2019-000928-S). DGV was funded by a predoctoral fellowship from MICIU/AEI/https://doi.org/10.13039/501100011033and by the FSE + (Ref. PRE2022-101292). FAFA was supported by a Beatriu de Pinos fellowship from Secretaria d'Universitats i Recerca del Departament de Recerca i Universitats of the Generalitat de Catalunya (Ref. BP 2021 00035).</t>
  </si>
  <si>
    <t>10.1007/s11160-024-09902-x</t>
  </si>
  <si>
    <t>NOV 2024</t>
  </si>
  <si>
    <t>WOS:001352537700001</t>
  </si>
  <si>
    <t>Radwan, NA; Atlam, AI; Abdel-Malek, AR; Moustafa, AY</t>
  </si>
  <si>
    <t>Radwan, Nahla A.; Atlam, Aalaa I.; Abdel-Malek, Asmaa R.; Moustafa, Alaa Y.</t>
  </si>
  <si>
    <t>Nematicidal Potentiality of Four Marine Molluscans' Defensive Secretions From the Red Sea Against Syphacia obvelata (Nematoda: Oxyuridae) In Vitro</t>
  </si>
  <si>
    <t>JOURNAL OF EXPERIMENTAL ZOOLOGY PART A-ECOLOGICAL AND INTEGRATIVE PHYSIOLOGY</t>
  </si>
  <si>
    <t>acid secretion; cephalopods; in vitro; inking; nematicidal activity; sea hares; sea slugs; Syphacia obvelata</t>
  </si>
  <si>
    <t>ANTIMICROBIAL PEPTIDE; SQUID INK; MELANIN; HARE; DISCOVERY; RATS; EGG</t>
  </si>
  <si>
    <t>The continuous requirement to substitute safe and affordable alternatives for helminth medications, as well as address the resistance of some used drug classes, introduced bioactive products derived from marine animals into the field of competition; however, almost all the previous research only focused on their impact on bacterial and protozoal infection. In the present work, we investigated the potential in vitro nematocidal effect of the aqueous extract of defense secretions for four species of marine mollusks: two cephalopods, namely the cuttlefish Sepia pharaonis and the common Octopus Octopus vulagris and two gastropods, the sea hare Aplysia argus and the sea slug Berthillina citrina, against the adult murine pinworm Syphacia obvelata. Data showed dose and time efficacy in all examined extracts. The sea slug's skin acid secretion has the highest impact, causing death in the cultivated worms, followed by the ink of the sea hare, the common octopus and the cuttlefish, where LC90 after 10 h of exposure were 250, 290, 316, and 391 mu g/mL, respectively. Comparatively with the control and albendazole-treated groups, the skin acid secretion of the sea slug caused the highest levels of the antioxidant enzymes SOD, Cat and GSH-PX; however, albendazole prompted the highest level of GSH-PX enzyme in all experimental groups.</t>
  </si>
  <si>
    <t>[Radwan, Nahla A.; Atlam, Aalaa I.] Tanta Univ, Fac Sci, Dept Zool, Tanta, Egypt; [Abdel-Malek, Asmaa R.] Assiut Univ, Fac Sci, Dept Zool, Asyut, Egypt; [Moustafa, Alaa Y.] Sohag Univ, Fac Sci, Dept Zool, Sohag, Egypt</t>
  </si>
  <si>
    <t>Egyptian Knowledge Bank (EKB); Tanta University; Egyptian Knowledge Bank (EKB); Assiut University; Egyptian Knowledge Bank (EKB); Sohag University</t>
  </si>
  <si>
    <t>Radwan, NA (corresponding author), Tanta Univ, Fac Sci, Dept Zool, Tanta, Egypt.</t>
  </si>
  <si>
    <t>nahla.radwan@science.tanta.edu.eg</t>
  </si>
  <si>
    <t>10.1002/jez.2877</t>
  </si>
  <si>
    <t>OCT 2024</t>
  </si>
  <si>
    <t>WOS:001344775700001</t>
  </si>
  <si>
    <t>Balbinot, FP; Rondan, FS; da Costa, LCA; Cauduro, VH; Mello, PA; Mesko, MF</t>
  </si>
  <si>
    <t>Balbinot, Fernanda P.; Rondan, Filipe S.; da Costa, Larissa C. A.; Cauduro, Vitoria H.; Mello, Paola A.; Mesko, Marcia F.</t>
  </si>
  <si>
    <t>Can minor aspects of sample preparation have major impacts on the reliability of analytical methods? A study for Br, Cl, F, I, and S in seafood</t>
  </si>
  <si>
    <t>MICROCHEMICAL JOURNAL</t>
  </si>
  <si>
    <t>Halogens; Sulfur; Ion chromatography; Mass spectrometry; Microwave-induced combustion; Seafood</t>
  </si>
  <si>
    <t>ION CHROMATOGRAPHY; TOTAL FLUORINE; TRACE LEVELS; IODINE; ELEMENTS; FISH; BIOACCESSIBILITY; BROMINE; SHRIMP; WATER</t>
  </si>
  <si>
    <t>The interest in assessing the presence of some chemical elements in seafood, such as halogens and sulfur, has been increasing. In this study, a novel analytical method was developed, enabling the determination of Br, Cl, F, I, and S in a single analysis in shellfish (brown-mussel, Perna perna), common octopus (Octopus vulgaris), and fish (argentine hake, Merluccius hubbsi), using ion chromatography coupled to mass spectrometry (IC-MS). It was observed that sample pre-treatment by oven-drying at 100 degrees C can cause F losses by volatilization, compared to other drying methods, such as oven-drying at 60 degrees C and freeze-drying. Also, the pH of the digests is not the only factor affecting halogen stabilization after microwave-induced combustion (MIC), and other aspects must be considered, such as the concentration of the analytes and the absorbing solution composition. MIC provided suitable recoveries (92% to 108%) for all analytes using 250 mmol L-1 NH4OH as the absorbing solution when combined with IC-MS determination. The trueness of the proposed method was also evaluated by analyzing standard reference materials (SRMs NIST 1566a and 2976, oyster and mussel tissues). Results did not present statistical differences (Student's t-test, confidence level of 95%) compared to the certified/reference values (agreements varying from 95% to 109% for all analytes). Analyte content (mass fraction) varied in a large range: 7 to 181 mg kg(-1) for Br; 1,285 to 24,176 mg kg(-1) for Cl; 5 to 34 mg kg(-1) for F; &lt; 3.3 to 7 mg kg(-1) for I; and 7,917 to 17,409 mg kg(-1) for S. The proposed method is a novel and reliable analytical tool and, at the same time, new insights on the influence of solution pH and drying method on the sample preparation step were provided.</t>
  </si>
  <si>
    <t>[Balbinot, Fernanda P.; Rondan, Filipe S.; da Costa, Larissa C. A.; Mesko, Marcia F.] Univ Fed Pelotas, Ctr Ciencias Quim Farmaceut &amp; Alimentos, BR-96160000 Capao Do Leao, RS, Brazil; [Cauduro, Vitoria H.; Mello, Paola A.] Univ Fed Santa Maria, Dept Quim, BR-97105900 Santa Maria, RS, Brazil</t>
  </si>
  <si>
    <t>Universidade Federal de Pelotas; Universidade Federal de Santa Maria (UFSM)</t>
  </si>
  <si>
    <t>Mesko, MF (corresponding author), Univ Fed Pelotas, Ctr Ciencias Quim Farmaceut &amp; Alimentos, BR-96160000 Capao Do Leao, RS, Brazil.</t>
  </si>
  <si>
    <t>marciamesko@yahoo.com.br</t>
  </si>
  <si>
    <t>Conselho Nacional de Desenvolvimento Cientifico e Tecnologico (CNPq) [312843/2020-8, 406118/2021-3]; Coordenacao de Aperfeicoamento de Pessoal de Nivel Superior (CAPES) [001]; Instituto Nacional de Ciencia e Tecnologia de Bioanalitica (INCTBio) [465389/2014-7]; Fundacao de Amparo a Pesquisa do Estado do Rio Grande do Sul (FAPERGS) [19/2551-0001866-5, 22/2551-0000389-3]</t>
  </si>
  <si>
    <t>Conselho Nacional de Desenvolvimento Cientifico e Tecnologico (CNPq)(Conselho Nacional de Desenvolvimento Cientifico e Tecnologico (CNPQ)); Coordenacao de Aperfeicoamento de Pessoal de Nivel Superior (CAPES)(Coordenacao de Aperfeicoamento de Pessoal de Nivel Superior (CAPES)); Instituto Nacional de Ciencia e Tecnologia de Bioanalitica (INCTBio); Fundacao de Amparo a Pesquisa do Estado do Rio Grande do Sul (FAPERGS)(Fundacao de Amparo a Ciencia e Tecnologia do Estado do Rio Grande do Sul (FAPERGS))</t>
  </si>
  <si>
    <t>This work was supported by Conselho Nacional de Desenvolvimento Cientifico e Tecnologico (CNPq, Grant Numbers 312843/2020-8, and 406118/2021-3); Coordenacao de Aperfeicoamento de Pessoal de Nivel Superior (CAPES, Grant code 001); Instituto Nacional de Ciencia e Tecnologia de Bioanalitica (INCTBio, Grant Number 465389/2014-7); Fundacao de Amparo a Pesquisa do Estado do Rio Grande do Sul (FAPERGS, Grant Numbers 19/2551-0001866-5, and 22/2551-0000389-3).</t>
  </si>
  <si>
    <t>10.1016/j.microc.2024.111906</t>
  </si>
  <si>
    <t>Chemistry, Analytical</t>
  </si>
  <si>
    <t>Chemistry</t>
  </si>
  <si>
    <t>WOS:001339466300001</t>
  </si>
  <si>
    <t>Pardo-Gandarillas, MC; Carrasco, SA; Varela, AI; Ibáñez, CM</t>
  </si>
  <si>
    <t>Pardo-Gandarillas, M. Cecilia; Carrasco, Sergio A.; Varela, Andrea I.; Ibanez, Christian M.</t>
  </si>
  <si>
    <t>Systematic and biogeography of two sympatric octopuses from the remote Juan Fernández Archipelago, South Pacific Ocean</t>
  </si>
  <si>
    <t>Octopodidae; Biogeography; Species delimitation; Robinson Crusoe Island; Pacific Ocean; Chile</t>
  </si>
  <si>
    <t>FERNANDEZ ARCHIPELAGO; DESVENTURADAS ISLANDS; SPECIES DELIMITATION; POPULATION-STRUCTURE; MOLECULAR PHYLOGENY; GENETIC DIVERSITY; REEF FISH; DNA; CEPHALOPODA; MIMUS</t>
  </si>
  <si>
    <t>Oceanic islands are hotspots of marine biodiversity, and biogeographic and evolutionary studies can provide important knowledge about the origin and diversification of the species that inhabit them. In the South Pacific, the Juan Fern &amp; aacute;ndez Archipelago (JFA) stands out for its high endemic biota, most of them endangered by human activities. Currently, two octopus species are recognized in JFA, but their taxonomic identity is not conclusive. In the present study, we performed morphometric and molecular analyses of both species inhabiting the JFA and contrast them with other species worldwide. Morphological, phylogenetic analysis, genetic diversity, and divergence times between species were estimated. Morphometric analysis did not show significant differences in body shape of males between/within Octopus species from JFA, only between females from different localities. However, phylogenetic and species delimitation analyses support the presence of two species in the JFA, namely Octopus mimus and Octopus vulgaris. In addition, both species show evidence of different divergence and colonization histories into the JFA during the Pleistocene. These findings do not only shed light on the identity, origin, and colonization time of the species, but also provide the basis to generate informed decisions on management and conservation. The recent colonization time and low genetic diversity observed in both species suggest that these populations are vulnerable to drastic changes, such as those caused by anthropic effects.</t>
  </si>
  <si>
    <t>[Pardo-Gandarillas, M. Cecilia; Ibanez, Christian M.] Univ Andres Bello, Fac Ciencias Vida, Dept Ecol &amp; Biodivers, Santiago, Chile; [Carrasco, Sergio A.; Varela, Andrea I.] Univ Concepcion, Fac Ciencias Nat &amp; Oceanograf, Dept Oceanog, Concepcion, Chile; [Carrasco, Sergio A.; Varela, Andrea I.] Univ Catoliva Norte, Fac Ciencias Mar, Ctr Ecol &amp; Sustainable Management Ocean Isl ESMOI, Dept Biol Marina, Coquimbo, Chile</t>
  </si>
  <si>
    <t>Universidad Andres Bello; Universidad de Concepcion; Universidad Catolica del Norte</t>
  </si>
  <si>
    <t>Pardo-Gandarillas, MC (corresponding author), Univ Andres Bello, Fac Ciencias Vida, Dept Ecol &amp; Biodivers, Santiago, Chile.</t>
  </si>
  <si>
    <t>pardogandarillas@gmail.com</t>
  </si>
  <si>
    <t>REG UNAB [04-2020]; FONDECYT [11170617, 1241836]</t>
  </si>
  <si>
    <t>REG UNAB; FONDECYT(Comision Nacional de Investigacion Cientifica y Tecnologica (CONICYT)CONICYT FONDECYT)</t>
  </si>
  <si>
    <t>This work was partially funded by projects REG UNAB 04-2020 awarded to C.M. Ibanez and M.C. Pardo-Gandarillas, and FONDECYT 11170617 - FONDECYT 1241836 awarded to S.A. Carrasco.</t>
  </si>
  <si>
    <t>10.1007/s11160-024-09894-8</t>
  </si>
  <si>
    <t>SEP 2024</t>
  </si>
  <si>
    <t>WOS:001318212100002</t>
  </si>
  <si>
    <t>Pérez-Polo, S; Mena, AR; Barros, L; Borrajo, P; Pazos, M; Carrera, M; Gestal, C</t>
  </si>
  <si>
    <t>Perez-Polo, Sara; Mena, Alejandro Rivero; Barros, Lorena; Borrajo, Paula; Pazos, Manuel; Carrera, Monica; Gestal, Camino</t>
  </si>
  <si>
    <t>Decoding Octopus Skin Mucus: Impact of Aquarium-Maintenance and Senescence on the Proteome Profile of the Common Octopus (Octopus vulgaris)</t>
  </si>
  <si>
    <t>INTERNATIONAL JOURNAL OF MOLECULAR SCIENCES</t>
  </si>
  <si>
    <t>Octopus vulgaris; skin mucus; proteomics; mass spectrometry; bioactive peptides; food; welfare; non-invasive methods; aquarium-maintained; senescent; wild</t>
  </si>
  <si>
    <t>BASS DICENTRARCHUS-LABRAX; EASTERN OYSTER; APOPTOSIS; TETRASPANINS; EXPRESSION; PEPTIDES; PATHWAYS; ADHESION; DENSITY</t>
  </si>
  <si>
    <t>The common octopus (Octopus vulgaris) is an excellent candidate for aquaculture diversification, due to its biological traits and high market demand. To ensure a high-quality product while maintaining welfare in captive environments, it is crucial to develop non-invasive methods for testing health biomarkers. Proteins found in skin mucus offer a non-invasive approach to monitoring octopus welfare. This study compares the protein profiles in the skin mucus of wild, aquarium-maintained, and senescent specimens to identify welfare biomarkers. A tandem mass tag (TMT) coupled with an Orbitrap Eclipse Tribrid mass spectrometer was used to create a reference dataset from octopus skin mucus, identifying 1496 non-redundant protein groups. Although similar profiles were observed, differences in relative abundances led to the identification of potential biomarkers, including caspase-3-like, protocadherin 4, deleted in malignant brain tumors, thioredoxin, papilin, annexin, cofilin and mucin-4 proteins. Some of these proteins also revealed potential as bioactive peptides. This investigation provides the most extensive analysis of the skin mucus proteome in the common octopus and is the first to explore how aquarium maintenance and senescence alter the mucus proteome. This research highlights the potential of skin mucus protein/peptides as non-invasive monitoring biomarkers in cultured animals.</t>
  </si>
  <si>
    <t>[Perez-Polo, Sara; Mena, Alejandro Rivero; Barros, Lorena; Borrajo, Paula; Pazos, Manuel; Carrera, Monica; Gestal, Camino] CSIC, Inst Invest Marinas IIM, Eduardo Cabello 6, Vigo 36208, Spain</t>
  </si>
  <si>
    <t>Carrera, M; Gestal, C (corresponding author), CSIC, Inst Invest Marinas IIM, Eduardo Cabello 6, Vigo 36208, Spain.</t>
  </si>
  <si>
    <t>sperez@iim.csic.es; arime@mail.ucv.es; lorenab@iim.csic.es; pborrajo@iim.csic.es; mpazos@iim.csic.es; mcarrera@iim.csic.es; cgestal@iim.csic.es</t>
  </si>
  <si>
    <t>Marine Science Program - Ministerio de Ciencia e Innovacion; Xunta de Galicia; European Union NextGenerationEU [PRTR-C17.I1]; European Maritime and Fisheries Fund; Agencia Estatal de Investigacion (AEI) [EQC2021-007375-P]; Marine Science Program</t>
  </si>
  <si>
    <t>Marine Science Program - Ministerio de Ciencia e Innovacion; Xunta de Galicia(Xunta de Galicia); European Union NextGenerationEU(European Union (EU)); European Maritime and Fisheries Fund; Agencia Estatal de Investigacion (AEI)(Spanish Government); Marine Science Program</t>
  </si>
  <si>
    <t>This research was funded by the Marine Science Program supported by Ministerio de Ciencia e Innovacion and Xunta de Galicia with funding from European Union NextGenerationEU (PRTR-C17.I1) and European Maritime and Fisheries Fund. This work was also supported by the Agencia Estatal de Investigacion (AEI) through grant EQC2021-007375-P for the acquisition of a high-resolution tribrid mass spectrometer for advanced -omics services, as part of the Equipamiento Cientifico Tecnico 2021 (EQC2021) call/10.13039/501100011033. S. P-P thanks the Marine Science Program for funding her postdoctoral contract.</t>
  </si>
  <si>
    <t>10.3390/ijms25189953</t>
  </si>
  <si>
    <t>WOS:001326302800001</t>
  </si>
  <si>
    <t>Hamdi, SAH; El-Shazly, MAM; Fol, MF; Mossalem, HS; Ghareeb, MA; Ibrahim, AM; Aloufi, AS; Abd El-Ghany, MN; Korany, SM</t>
  </si>
  <si>
    <t>Hamdi, S. A. H.; El-Shazly, M. A. M.; Fol, M. F.; Mossalem, H. S.; Ghareeb, M. A.; Ibrahim, A. M.; Aloufi, A. S.; Abd El-Ghany, M. N.; Korany, S. M.</t>
  </si>
  <si>
    <t>Octopus vulgaris ink chemical profiling and validation of its potential as antioxidant, antimicrobial, anti-cancer as well as anti-Schistosomal drug in vitro</t>
  </si>
  <si>
    <t>ARQUIVO BRASILEIRO DE MEDICINA VETERINARIA E ZOOTECNIA</t>
  </si>
  <si>
    <t>Octopus vulgaris; antioxidant; antimicrobial; anticancer; anti-schistosomal</t>
  </si>
  <si>
    <t>SQUID INK; EXTRACT</t>
  </si>
  <si>
    <t>Among marine creatures including squids, cephalopods and Octopus, one of the most unique features is production of ink which is an extremely valuable source of pharmaceuticals. The current study investigates the ink produced from Octopus vulgaris chemically as well as its potential antioxidant, anticancer, antimicrobial, and anti-schistosomal activities in vitro. Twenty-one different compounds were identified by GC-MS analysis of Octopus vulgaris ink. Results revealed that O. vulgaris ink had antioxidant capability to cover DPPH free radical when compared to ascorbic acid. Moreover, Octopus vulgaris ink exhibited antibacterial activity against Bacillus subtilis followed by Escherichia coli and Pseudomonas aeuroginosa and exhibited a molluscicidal activity against adult Biomphalaria alexandrina snails and had a distinguished mortal effect on free larval phases of Schistosoma mansoni. Furthermore, its anticancer activity was confirmed, where IC50 value of breast cancer cell line MCF-7, human hepatocellular carcinoma (HCT) and human liver cancer cell line (HepG2) were 29.8, 38.29 and 30.38 mu g/mL, respectively. In conclusion, ink extracted from O. vulgaris may be considered as source of valuable compounds that can be used as molluscicidal, antioxidant, antimicrobial, anticancer and anti-schistosomal agents.</t>
  </si>
  <si>
    <t>[Hamdi, S. A. H.; Fol, M. F.] Cairo Univ, Fac Sci, Zool Dept, Cairo, Egypt; [El-Shazly, M. A. M.; Ghareeb, M. A.] Theodor Bilharz Res Inst, Med Chem Dept, Giza, Egypt; [Mossalem, H. S.; Ibrahim, A. M.] Theodor Bilharz Res Inst, Med Malacol Dept, Giza, Egypt; [Aloufi, A. S.] Princess Nourah bint Abdulrahman Univ, Coll Sci, Dept Biol, POB 84428, Riyadh 11671, Saudi Arabia; [Abd El-Ghany, M. N.] Cairo Univ, Fac Sci, Bot &amp; Microbiol Dept, Giza 12613, Egypt; [Korany, S. M.] Helwan Univ, Fac Sci, Bot &amp; Microbiol Dept, Cairo 11795, Egypt</t>
  </si>
  <si>
    <t>Egyptian Knowledge Bank (EKB); Cairo University; Egyptian Knowledge Bank (EKB); Theodor Bilharz Research Institute (TBRI); Egyptian Knowledge Bank (EKB); Theodor Bilharz Research Institute (TBRI); Princess Nourah bint Abdulrahman University; Egyptian Knowledge Bank (EKB); Cairo University; Egyptian Knowledge Bank (EKB); Capital University - Egypt</t>
  </si>
  <si>
    <t>Abd El-Ghany, MN (corresponding author), Cairo Univ, Fac Sci, Bot &amp; Microbiol Dept, Giza 12613, Egypt.</t>
  </si>
  <si>
    <t>dr.mohamed.naguib@cu.edu.eg</t>
  </si>
  <si>
    <t>Princess Nourah bint Abdulrahman University, Riyadh, Saudi Arabia [PNURSP2024R357]</t>
  </si>
  <si>
    <t>Princess Nourah bint Abdulrahman University, Riyadh, Saudi Arabia(Princess Nourah bint Abdulrahman University)</t>
  </si>
  <si>
    <t>Princess Nourah bint Abdulrahman University Researchers Supporting Project number (PNURSP2024R357) , Princess Nourah bint Abdulrahman University, Riyadh, Saudi Arabia</t>
  </si>
  <si>
    <t>SEP-OCT</t>
  </si>
  <si>
    <t>e13217</t>
  </si>
  <si>
    <t>WOS:001298642300011</t>
  </si>
  <si>
    <t>Costas-Imbernón, D; Costas-Prado, C; Sequeiro, T; Touriñán, P; García-Fernández, P; Tur, R; Chavarrías, D; Saura, M; Rotllant, J</t>
  </si>
  <si>
    <t>Costas-Imbernon, Daniel; Costas-Prado, Carolina; Sequeiro, Teresa; Tourinan, Pablo; Garcia-Fernandez, Pablo; Tur, Ricardo; Chavarrias, David; Saura, Maria; Rotllant, Josep</t>
  </si>
  <si>
    <t>The skin microbiome as a new potential biomarker in the domestication and health status of Octopus vulgaris</t>
  </si>
  <si>
    <t>aquaculture; biomarker; common octopus; domestication; dysbiosis; metagenomics; microbiome; welfare</t>
  </si>
  <si>
    <t>FATTY-ACID-COMPOSITION; LACTOCOCCUS-GARVIEAE; ANIMAL-WELFARE; GUT MICROBIOTA; RESPONSES; CEPHALOPODS; AQUACULTURE; PARALARVAE; FISH; GENE</t>
  </si>
  <si>
    <t>Over the past decade, there has been a growing interest in common octopus aquaculture, prompted by several factors such as the increase in market demand, the decline in overall fisheries and the search for more sustainable food resources. Nevertheless, this interest has raised concerns about the potential impact of large-scale production and intensified farming practices in the future. This study aims to establish a baseline understanding of the natural microbial communities that inhabit skin mucus of the common octopus, describe its core microbiota, and assess the impact of captive rearing on these communities and animal welfare. The skin microbiome of wild-captured octopuses was compared with that of reared in aquaculture using 16S ribosomal RNA metabarcoding. The findings show that the core microbiota of octopus mucosal skin is dominated by the phyla Bacteroidota and Pseudomonadota, with Aurantivirga, Pseudofulvibacter, and Rubritalea being the most abundant genera. Despite differences in abundance, the microbiota composition and diversity between wild and aquaculture octopuses were similar. Wild samples had an enrichment of Gammaproteobacteria, including potentially pathogenic species such as Vibrio spp., Photobacterium swingsii, and Lactococcus garvieae, which were less prevalent or absent in aquaculture samples. KEGG functional pathways predictions indicated a higher enrichment in functional pathways related to xenobiotic remediation in wild samples, reflecting their need to adapt to a more variable and potentially contaminated environment. This is the first study to characterize the mucosal skin microbiome of the common octopus and to compare wild and aquaculture specimens. The results suggest that current aquaculture practices support animal welfare through the use of controlled hatchery environments and high-quality water conditions. These insights are valuable for the development of sustainable and responsible aquaculture practices, with the octopus microbiome serving as a potential biomarker for health status and animal welfare.</t>
  </si>
  <si>
    <t>[Costas-Imbernon, Daniel; Costas-Prado, Carolina; Sequeiro, Teresa; Saura, Maria; Rotllant, Josep] Spanish Natl Res Council IIM CSIC, Inst Marine Res, Aquat Biotechnol Lab, Vigo, Spain; [Tourinan, Pablo; Garcia-Fernandez, Pablo; Tur, Ricardo; Chavarrias, David] Pescanova Biomarine Ctr, O Grove, Spain</t>
  </si>
  <si>
    <t>Costas-Imbernón, D; Rotllant, J (corresponding author), Spanish Natl Res Council IIM CSIC, Inst Marine Res, Aquat Biotechnol Lab, Vigo, Spain.</t>
  </si>
  <si>
    <t>dcostas@iim.csic.es; rotllant@iim.csic.es</t>
  </si>
  <si>
    <t>Centro para el Desarrollo Tecnolgico Industrial10.13039/501100001872</t>
  </si>
  <si>
    <t>The authors would like to thank Mr. Ruben Chamorro and Ms. Susana Otero for assistance during sample collection.</t>
  </si>
  <si>
    <t>AUG 23</t>
  </si>
  <si>
    <t>10.3389/fmars.2024.1435217</t>
  </si>
  <si>
    <t>WOS:001307465000001</t>
  </si>
  <si>
    <t>Bennice, CO; Krausfeldt, LE; Brooks, WR; Lopez, JV</t>
  </si>
  <si>
    <t>Bennice, Chelsea O.; Krausfeldt, Lauren E.; Brooks, W. Randy; Lopez, Jose V.</t>
  </si>
  <si>
    <t>Unique skin microbiome: insights to understanding bacterial symbionts in octopuses</t>
  </si>
  <si>
    <t>cephalopods; Octopus vulgaris; Macrotritopus defilippi; noninvasive sampling method; microbial community; 16S rRNA; Bacteroidetes; Flavobacteriaceae</t>
  </si>
  <si>
    <t>SP-NOV.; TENACIBACULUM-MARITIMUM; IDENTIFICATION; EMENDATION; INFECTION; ORGANISMS; TAXONOMY; SQUALENE; STRAINS; GROWTH</t>
  </si>
  <si>
    <t>Microbial communities play a crucial role in the physiology of animal hosts; however, little is known about bacterial symbionts with the group cephalopods, specifically octopuses, and the function of these symbionts. The goal of this study was to determine if octopuses have a unique skin microbiome. The skin microbiome of two sympatric octopuses (Octopus vulgaris and Macrotritopus defilippi) was compared with the surrounding environment, sediment and seawater, to determine if octopus have a unique skin microbiome. High throughput sequencing of the bacterial 16S rRNA gene (V3-V4 region) amplicons was performed using an Illumina MiSeq. Sediment showed the greatest alpha diversity followed by octopus then seawater. Beta diversity revealed a difference in microbial composition between the octopus skin microbiome and sediment and seawater. While phylum Bacteroidetes appeared rare in environmental samples, it was most abundant for the octopus skin microbiome with the majority of the bacteria comprising the family Flavobacteriaceae. Proteobacteria, the largest group of bacteria, also constituted the octopus skin microbiome. Many of these groups occur on both octopus species; however, certain taxa differed in relative abundance between octopus species and may show species-specific host selection. Several bacteria that were identified for the octopus skin microbiome have been isolated from other marine animal hosts, identified as biodegraders and/or produce pigments and squalene, or act as predators of other bacteria. These groups may play a role in defense against environmental stressors or pathogenic bacteria. This is the first study to characterize the skin microbiome in two wild sympatric octopuses. Due to the importance of bacterial symbionts, this can provide insight to the physiology, behavior, ecology, and ultimately the health of these important animals in marine environments as well as care in captive or laboratory settings.</t>
  </si>
  <si>
    <t>[Bennice, Chelsea O.] Florida Atlantic Univ, Charles E Schmidt Coll Sci, Dept Biol Sci, Marine Sci Lab, Boca Raton, FL 33431 USA; [Krausfeldt, Lauren E.; Lopez, Jose V.] Nova Southeastern Univ, Halmos Coll Arts &amp; Sci, Guy Harvey Oceanog Ctr, Mol Microbiol &amp; Genet Lab, Dania, FL USA; [Brooks, W. Randy] Florida Atlantic Univ, Charles E Schmidt Coll Sci, Dept Biol Sci, Boca Raton, FL USA</t>
  </si>
  <si>
    <t>State University System of Florida; Florida Atlantic University; Nova Southeastern University; Florida Atlantic University; State University System of Florida; Florida Atlantic University</t>
  </si>
  <si>
    <t>Bennice, CO (corresponding author), Florida Atlantic Univ, Charles E Schmidt Coll Sci, Dept Biol Sci, Marine Sci Lab, Boca Raton, FL 33431 USA.</t>
  </si>
  <si>
    <t>Broward Shell Club</t>
  </si>
  <si>
    <t>The author(s) declare financial support was received for the research, authorship, and/or publication of this article. We are grateful for funding from the Broward Shell Club and the generous donors to the FAU Springboard Campaign.</t>
  </si>
  <si>
    <t>10.3389/fmars.2024.1448199</t>
  </si>
  <si>
    <t>WOS:001306778000001</t>
  </si>
  <si>
    <t>Escolar, O; Fernandez-Alvarez, FA; Villanueva, R</t>
  </si>
  <si>
    <t>Escolar, Oscar; Fernandez-Alvarez, Fernando a.; Villanueva, Roger</t>
  </si>
  <si>
    <t>Octopus diet during the settlement period using DNA metabarcoding</t>
  </si>
  <si>
    <t>Trophic ecology; Juvenile; Ontogeny; Cephalopoda; Octopoda; eDNA</t>
  </si>
  <si>
    <t>CEPHALOPODA OCTOPODIDAE; VULGARIS MOLLUSCA; PARALARVAE; GROWTH; PREY; AMPHIPODA; PREDATION; BEHAVIOR; BIOLOGY</t>
  </si>
  <si>
    <t>The settlement phase is a challenging period for meropelagic octopus, as they adapt to their new life in the sea bottom after a planktonic period. Their ecology and trophic interactions with the surrounding fauna in the wild are practically unknown. To understand their predatory role in the littoral zone, the diet of recently settled Octopus vulgaris from a Mediterranean sandy bottom was studied through molecular methods. Amphipods were present in all the analysed stomach contents, with a total of 20 amphipod taxa recorded as prey. Jassa slatteryi and Microprotopus maculatus were the most commonly found amphipod species. Hydrozoans, decapod crustaceans, cephalopods and bivalves followed amphipods in importance. Niche breadth index assigned to small recently settled octopus the role of a specialised predator, increasing the diversity of prey as they grow. Larger juveniles displayed a higher number of prey taxa suggesting a decreasing predatory specialisation with octopus size and an ontogenetic shift in trophic ecology from diet mainly based on amphipods to a richer diet. The considerable arm elongation and the strong muscular arm crown development after settlement probably allow the juvenile benthic octopus to develop ambush predation and speculative hunting, increasing the range of potential benthic prey species along its adaptation to the benthos.</t>
  </si>
  <si>
    <t>[Escolar, Oscar; Fernandez-Alvarez, Fernando a.; Villanueva, Roger] CSIC, Inst Ciencies Mar ICM, Passeig Maritim Barceloneta 37-49, Barcelona 08003, Spain</t>
  </si>
  <si>
    <t>CSIC - Centro Mediterraneo de Investigaciones Marinas y Ambientales (CMIMA); CSIC - Instituto de Ciencias del Mar (ICM); Consejo Superior de Investigaciones Cientificas (CSIC); CSIC - Instituto de Ciencias del Mar (ICM)</t>
  </si>
  <si>
    <t>Escolar, O (corresponding author), CSIC, Inst Ciencies Mar ICM, Passeig Maritim Barceloneta 37-49, Barcelona 08003, Spain.</t>
  </si>
  <si>
    <t>escolar@icm.csic.es</t>
  </si>
  <si>
    <t>Spanish Ministry of Science, Innovation and Universities [RTI2018-097908-B-I00, PID2021-126824NB-C32]; Spanish government through the Severo Ochoa Center of Excellence accreditation [CEX2019-000928-S]; JdC-I Postdoctoral Fellowship Grant - MCIN/AEI [IJC2020-043170-I]; Beatriu de Pinos fellowship from Secretaria d'Universitats i Recerca del Departament de Recerca i Universitats of the Generalitat de Catalunya [BP 2021 00035]</t>
  </si>
  <si>
    <t>Spanish Ministry of Science, Innovation and Universities(Spanish Government); Spanish government through the Severo Ochoa Center of Excellence accreditation; JdC-I Postdoctoral Fellowship Grant - MCIN/AEI; Beatriu de Pinos fellowship from Secretaria d'Universitats i Recerca del Departament de Recerca i Universitats of the Generalitat de Catalunya(Generalitat de Catalunya)</t>
  </si>
  <si>
    <t>Special thanks to Eduardo Escolar, owner and captain of the artisanal fishing boat Nova Miriam. Thanks to him for all his work and marine knowledge shared along all the sampling days carried out to get the successful realization of this project. Thanks to Ainhoa Bernal (Instituto Espanol de Oceanografia, CSIC) for her support with statistical analyses. DNA metabarcoding analyses were carried out by AllGenetics &amp; Biology SL (www.allgenetics.eu). Funding was provided by the Spanish Ministry of Science, Innovation and Universities (OCTOSET, Ref. RTI2018-097908-B-I00; ECOPHYN, Ref. PID2021-126824NB-C32; MCIU/AEI/FEDER, EU), and the Spanish government through the Severo Ochoa Center of Excellence accreditation (CEX2019-000928-S). F.A.F.-A. was supported by a JdC-I Postdoctoral Fellowship Grant (Ref. IJC2020-043170-I) awarded by MCIN/AEI /https://doi.org/10.13039/501100011033 and by a Beatriu de Pinos fellowship from Secretaria d'Universitats i Recerca del Departament de Recerca i Universitats of the Generalitat de Catalunya (Ref. BP 2021 00035). We thank the Associate Editor and anonymous reviewers for their helpful comments.</t>
  </si>
  <si>
    <t>10.1007/s11160-024-09875-x</t>
  </si>
  <si>
    <t>JUL 2024</t>
  </si>
  <si>
    <t>WOS:001275401000001</t>
  </si>
  <si>
    <t>JOURNAL OF AQUATIC FOOD PRODUCT TECHNOLOGY</t>
  </si>
  <si>
    <t>Kim, KT; Kim, MA; Kim, WJ; Jung, MM; Kim, DH; Sohn, YC</t>
  </si>
  <si>
    <t>Kim, Ki Tae; Kim, Mi Ae; Kim, Woo Jin; Jung, Min Min; Kim, Dong Hwi; Sohn, Young Chang</t>
  </si>
  <si>
    <t>Transcriptome analysis of East Asian common octopus, Octopus sinensis, paralarvae</t>
  </si>
  <si>
    <t>GENES &amp; GENOMICS</t>
  </si>
  <si>
    <t>Cephalopod; DEG; Octopus sinensis; Embryo; RNA sequencing</t>
  </si>
  <si>
    <t>ZOEAE</t>
  </si>
  <si>
    <t>BackgroundThe genes involved in cephalopod development and their association with hatching and survival during early life stages have been extensively studied. However, few studies have investigated the paralarvae transcriptome of the East Asian common octopus (Octopus sinen sis). ObjectiveThis study aimed to identify the genes related to embryonic development and hatching in O. sinensis using RNA sequencing (RNA-seq) and verify the genes most relevant to different embryonic stages. MethodsRNA samples from hatched and 25 days post-hatching (dph) O. sinensis paralarvae were used to construct cDNA libraries. Clean reads from individual samples were aligned to the reference O. sinensis database to identify the differentially expressed genes (DEGs) between the 0- and 25-dph paralarvae libraries. Real-time quantitative polymerase chain reaction (RT-qPCR) was used to supplement the RNA-seq data for embryogenic developmental stages. ResultsA total of 12,597 transcripts were annotated and 5,468 DEGs were identified between the 0- and 25-dph O. sinensis paralarvae, including 2,715 upregulated and 2,753 downregulated transcripts in the 25-dph paralarvae. Several key DEGs were related to transmembrane transport, lipid biosynthesis, monooxygenase activity, lipid transport, neuropeptide signaling, transcription regulation, and protein-cysteine S-palmitoyltransferase activity during the post-hatching development of O. sinensis paralarvae. RT-qPCR analysis further revealed that SLC5A3A, ABCC12, and NPC1 transcripts in 20 and/or 30 days post-fertilization (dpf) embryos were significantly higher (p &lt; 0.05) than those in 10-dpf embryos. ConclusionTranscriptome profiles provide molecular targets to understand the embryonic development, hatching, and survival of O. sinensis paralarvae, and enhance octopus production.</t>
  </si>
  <si>
    <t>[Kim, Ki Tae] Natl Inst Fisheries Sci, Southeast Sea Fisheries Res Inst, Tongyeong 53017, South Korea; [Kim, Mi Ae; Sohn, Young Chang] Gangneung Wonju Natl Univ, Dept Marine Biosci, Kangnung 25457, Gangwon Do, South Korea; [Kim, Mi Ae; Sohn, Young Chang] Gangneung Wonju Natl Univ, East Coast Res Inst Life Sci, Kangnung 25457, South Korea; [Kim, Woo Jin] Natl Inst Fisheries Sci, Biotechnol Res Div, Pusan 46083, South Korea; [Jung, Min Min] Natl Inst Fisheries Sci NIFS, Subtrop Fisheries Res Inst, Jeju 63068, South Korea; [Kim, Dong Hwi] Natl Inst Fisheries Sci, East Sea Fisheries Res Inst, Gangneung Si 25435, South Korea</t>
  </si>
  <si>
    <t>National Institute of Fisheries Science; Gangneung-Wonju National University; Gangneung-Wonju National University; National Institute of Fisheries Science; National Institute of Fisheries Science; National Institute of Fisheries Science</t>
  </si>
  <si>
    <t>Sohn, YC (corresponding author), Gangneung Wonju Natl Univ, Dept Marine Biosci, Kangnung 25457, Gangwon Do, South Korea.;Sohn, YC (corresponding author), Gangneung Wonju Natl Univ, East Coast Res Inst Life Sci, Kangnung 25457, South Korea.</t>
  </si>
  <si>
    <t>ycsohn@gwnu.ac.kr</t>
  </si>
  <si>
    <t>National Institute of Fisheries Science, Ministry of Oceans and Fisheries, Korea [R2024047]</t>
  </si>
  <si>
    <t>National Institute of Fisheries Science, Ministry of Oceans and Fisheries, Korea</t>
  </si>
  <si>
    <t>This study was supported by the National Institute of Fisheries Science, Ministry of Oceans and Fisheries, Korea (Grant number: R2024047).</t>
  </si>
  <si>
    <t>AUG 1</t>
  </si>
  <si>
    <t>10.1007/s13258-024-01537-3</t>
  </si>
  <si>
    <t>JUN 2024</t>
  </si>
  <si>
    <t>Biochemistry &amp; Molecular Biology; Biotechnology &amp; Applied Microbiology; Genetics &amp; Heredity</t>
  </si>
  <si>
    <t>WOS:001255306000001</t>
  </si>
  <si>
    <t>Papadopoulo, K; Hillinger, A; Mucientes, G; Roura, A; Villegas-Ríos, D; Irisarri, J; González, AF; Alonso-Fernández, A</t>
  </si>
  <si>
    <t>Papadopoulo, Kenn; Hillinger, Alina; Mucientes, Gonzalo; Roura, Alvaro; Villegas-Rios, David; Irisarri, Jose; Gonzalez, Angel F.; Alonso-Fernandez, Alexandre</t>
  </si>
  <si>
    <t>First insights into the spatial behaviour of Octopus vulgaris in the wild using acoustic telemetry</t>
  </si>
  <si>
    <t>ANIMAL BIOTELEMETRY</t>
  </si>
  <si>
    <t>Acoustic telemetry; Animal movement; Spatial ecology; Octopus vulgaris; Tracking</t>
  </si>
  <si>
    <t>GIANT PACIFIC OCTOPUSES; MOVEMENT PATTERNS; HABITAT USE; FISHERIES; GALICIA; TEMPERATURE; ECOLOGY; CUVIER; SPACE; GRAY</t>
  </si>
  <si>
    <t>Octopuses are amongst the most fascinating animals in our oceans; however, while their intricate behaviours are often studied in laboratory settings, basic aspects of their movement ecology remain unstudied in the wild. Focusing on the socio-economically important common octopus (Octopus vulgaris), this study employs, for the first time, acoustic tracking techniques to address knowledge gaps regarding the species spatial ecology within a marine protected area. A total of 24 wild O. vulgaris (13 males, 11 females) were tagged in 2022 in the National Park Maritime-Terrestrial of the Atlantic Islands of Galicia, Spain. Acoustic transmitters were externally attached to the third arm, after testing other body parts (mantle cavity). Males were on average detected on 10 times more occasions than females (49 days in males and five in females). The average activity space in the study area was large in comparison to that determined in similar studies, with 0.16 km(2). Activity space between males and females as well as day and night were comparable. Tagged octopuses displayed a crepuscular activity pattern. The location of dens could be established for 15 out of 24 individuals, from which octopuses were observed to undertake regular daytime excursions. Several individuals were also found to occupy more than one den and/or switch their main dens throughout the study duration. First implications and benefits of this approach are discussed.</t>
  </si>
  <si>
    <t>[Papadopoulo, Kenn; Hillinger, Alina; Mucientes, Gonzalo; Roura, Alvaro; Villegas-Rios, David; Gonzalez, Angel F.; Alonso-Fernandez, Alexandre] CSIC, Inst Invest Marinas IIM, Eduadro Cabello 6, Vigo, Spain; [Papadopoulo, Kenn; Hillinger, Alina] Univ Vigo, Vigo, Pontevedra, Spain; [Mucientes, Gonzalo] Univ Porto, Ctr Invest Biodiversidade &amp; Recursos Genet, InBIO Lab Associado CIBIO InBIO, Vairao, Portugal; [Irisarri, Jose] Ecoloxia Azul Blue Ecol Org, Vigo, Spain</t>
  </si>
  <si>
    <t>Consejo Superior de Investigaciones Cientificas (CSIC); CSIC - Instituto de Investigaciones Marinas (IIM); Universidade de Vigo; Universidade do Porto</t>
  </si>
  <si>
    <t>Papadopoulo, K; Hillinger, A (corresponding author), CSIC, Inst Invest Marinas IIM, Eduadro Cabello 6, Vigo, Spain.;Papadopoulo, K; Hillinger, A (corresponding author), Univ Vigo, Vigo, Pontevedra, Spain.</t>
  </si>
  <si>
    <t>npapadopoulo@iim.csic.es; hillinger.a@proton.me</t>
  </si>
  <si>
    <t>CRUE-CSIC; Springer Nature; Ecology of wild Common Octopus: towards Sustainable Management and Aquaculture (ECOSUMA); Proyectos de I + D + I (Generacion de Conocimimento y Retos de Investigacion); Ministerio de Ciencia e Innovacion [RTI2018-099868-B-I00]; La Caixa Foundation [100010434]; [LCF/BQ/DR23/12000027]</t>
  </si>
  <si>
    <t>CRUE-CSIC; Springer Nature; Ecology of wild Common Octopus: towards Sustainable Management and Aquaculture (ECOSUMA); Proyectos de I + D + I (Generacion de Conocimimento y Retos de Investigacion); Ministerio de Ciencia e Innovacion(Instituto de Salud Carlos IIISpanish Government); La Caixa Foundation(La Caixa Foundation);</t>
  </si>
  <si>
    <t>Open Access funding provided thanks to the CRUE-CSIC agreement with Springer Nature. Ecology of wild Common Octopus: towards Sustainable Management and Aquaculture (ECOSUMA), Proyectos de I + D + I (Generacion de Conocimimento y Retos de Investigacion), Ministerio de Ciencia e Innovacion (RTI2018-099868-B-I00). PI: Dr. Angel Gonzalez. The project that gave rise to these results received the support of a fellowship from thela Caixa Foundation (ID 100010434). The fellowship code is LCF/BQ/DR23/12000027.</t>
  </si>
  <si>
    <t>JUN 19</t>
  </si>
  <si>
    <t>10.1186/s40317-024-00361-6</t>
  </si>
  <si>
    <t>Biodiversity Conservation; Ecology; Marine &amp; Freshwater Biology</t>
  </si>
  <si>
    <t>Biodiversity &amp; Conservation; Environmental Sciences &amp; Ecology; Marine &amp; Freshwater Biology</t>
  </si>
  <si>
    <t>WOS:001252132400001</t>
  </si>
  <si>
    <t>Li, FH; Chen, SQ; Zhang, T; Pan, LY; Liu, CL; Bian, L</t>
  </si>
  <si>
    <t>Li, Fenghui; Chen, Siqing; Zhang, Tao; Pan, Luying; Liu, Changlin; Bian, Li</t>
  </si>
  <si>
    <t>Gonadal Transcriptome Sequencing Analysis Reveals the Candidate Sex-Related Genes and Signaling Pathways in the East Asian Common Octopus, Octopus sinensis</t>
  </si>
  <si>
    <t>GENES</t>
  </si>
  <si>
    <t>Octopus sinensis; gonadal transcriptome sequence; gene-expression profile; sex-related genes and pathways</t>
  </si>
  <si>
    <t>EXPRESSION; FAMILY; MOUSE; IDENTIFICATION; MUTATION; MEMBERS; GROWTH; OVARY; CELL</t>
  </si>
  <si>
    <t>The East Asian common octopus (Octopus sinensis) is an economically important species among cephalopods. This species exhibits a strict dioecious and allogamous reproductive strategy, along with a phenotypic sexual dimorphism, where the third right arm differentiates into hectocotylus in males. However, our understanding of the molecular mechanisms that underlie sex determination and differentiation in this species remains limited. In the present study, we surveyed gene-expression profiles in the immature male and female gonads of O. sinensis based on the RNA-seq, and a total of 47.83 Gb of high-quality data were generated. Compared with the testis, we identified 8302 differentially expressed genes (DEGs) in the ovary, of which 4459 genes were up-regulated and 3843 genes were down-regulated. Based on the GO enrichment, many GO terms related to sex differentiation were identified, such as sex differentiation (GO: 0007548), sexual reproduction (GO: 0019953) and male sex differentiation (GO: 0046661). A KEGG classification analysis identified three conserved signaling pathways that related to sex differentiation, including the Wnt signaling pathway, TGF-beta signaling pathway and Notch signaling pathway. Additionally, 21 sex-related DEGs were selected, of which 13 DEGs were male-biased, including Dmrt1, Foxn5, Foxj1, Sox30, etc., and 8 DEGs were female-biased, including Sox14, Nanos3, beta-tubulin, Suh, etc. Ten DEGs were used to verify the expression patterns in the testis and ovary using the RT-qPCR method, and the results showed that the expression level shown by RT-qPCR was consistent with that from the RNA-seq, which confirmed the reliability of the transcriptome data. The results presented in this study will not only contribute to our understanding of sex-formation mechanisms in O. sinensis but also provide the foundational information for further investigating the molecular mechanisms that underline its gonadal development and facilitate the sustainable development of octopus artificial breeding.</t>
  </si>
  <si>
    <t>[Li, Fenghui; Chen, Siqing; Pan, Luying; Liu, Changlin; Bian, Li] Chinese Acad Fishery Sci, Yellow Sea Fisheries Res Inst, State Key Lab Mariculture Biobreeding &amp; Sustainabl, Qingdao 266071, Peoples R China; [Li, Fenghui; Chen, Siqing; Pan, Luying; Liu, Changlin; Bian, Li] Laoshan Lab, Lab Marine Fisheries Sci &amp; Food Prod Proc, Qingdao 266237, Peoples R China; [Zhang, Tao] Zhejiang Marine Fisheries Res Inst, Zhoushan 316021, Peoples R China</t>
  </si>
  <si>
    <t>Chinese Academy of Fishery Sciences; Yellow Sea Fisheries Research Institute, CAFS; Laoshan Laboratory</t>
  </si>
  <si>
    <t>Bian, L (corresponding author), Chinese Acad Fishery Sci, Yellow Sea Fisheries Res Inst, State Key Lab Mariculture Biobreeding &amp; Sustainabl, Qingdao 266071, Peoples R China.;Bian, L (corresponding author), Laoshan Lab, Lab Marine Fisheries Sci &amp; Food Prod Proc, Qingdao 266237, Peoples R China.</t>
  </si>
  <si>
    <t>lifh@ysfri.ac.cn; chensq@ysfri.ac.cn; zhangtao5729@163.com; ply2208@stu.ouc.edu.cn; liuchl@ysfri.ac.cn; bianli@ysfri.ac.cn</t>
  </si>
  <si>
    <t>National Natural Science Foundation of China [32303036]; China Agriculture Research System of MOF and MARA; Central Public-Interest Scientific Institution Basal Research Fund, CAFS [2023TD30]</t>
  </si>
  <si>
    <t>National Natural Science Foundation of China(National Natural Science Foundation of China (NSFC)); China Agriculture Research System of MOF and MARA; Central Public-Interest Scientific Institution Basal Research Fund, CAFS</t>
  </si>
  <si>
    <t>This research was funded by the National Natural Science Foundation of China, grant number 32303036; China Agriculture Research System of MOF and MARA; and Central Public-Interest Scientific Institution Basal Research Fund, CAFS, grant number 2023TD30.</t>
  </si>
  <si>
    <t>10.3390/genes15060682</t>
  </si>
  <si>
    <t>Genetics &amp; Heredity</t>
  </si>
  <si>
    <t>WOS:001257267300001</t>
  </si>
  <si>
    <t>MAY 2024</t>
  </si>
  <si>
    <t>Roura, A; Castro-Bugallo, A; Martínez-Pérez, M; Guerra, A</t>
  </si>
  <si>
    <t>Roura, Alvaro; Castro-Bugallo, Alexandra; Martinez-Perez, Miguel; Guerra, Angel</t>
  </si>
  <si>
    <t>Senescence in common octopus, Octopus vulgaris : Morphological, behavioural and functional observations</t>
  </si>
  <si>
    <t>APPLIED ANIMAL BEHAVIOUR SCIENCE</t>
  </si>
  <si>
    <t>Ageing; Functional morphology; Behaviour; Octopod; Life span</t>
  </si>
  <si>
    <t>REPRODUCTION; CEPHALOPODS; GLAND; CYCLE</t>
  </si>
  <si>
    <t>Understanding senescence in semelparous species not only deepens our knowledge of the evolution of aging but also highlights the diversity of life strategies that have evolved in the natural world. This terminal phase occurs at the end of the lifecycle and is particularly evident in the common octopus, Octopus vulgaris, Cuvier 1797, a semelparous species with terminal reproduction. The aim of the present work was to document the natural process of senescence in specimens raised in captivity for two consecutive generations and the differences in morphology, behaviour and functional traits between the two sexes. Both sexes showed similar affections in the skin, with unhealed wounds, paler colors, and white lesions. At the same temperature males lived longer (six to seven months) than females, and showed extensive arm tip damage, with the exception of the hectocotylus that was fully functional until the very last day. Females, contrarily to males, lose 35.4-46.8% of their body weight during brooding and senescence. Uncommon behaviours were registered during this terminal phase like egg laying outside of the den, egg ingestion or copulation between males. These observations provide new data that will help to better understand this terminal phase and the natural processes occurring in both sexes at the end of their life cycle.</t>
  </si>
  <si>
    <t>[Guerra, Angel] Levante 1,7 B, Vigo 36206, Pontevedra, Spain</t>
  </si>
  <si>
    <t>Guerra, A (corresponding author), Levante 1,7 B, Vigo 36206, Pontevedra, Spain.</t>
  </si>
  <si>
    <t>chiquipulpi@gmail.com; angelguerra@movistar.es</t>
  </si>
  <si>
    <t>CDTI [IDI-20170704, IDI-20190479]</t>
  </si>
  <si>
    <t>CDTI(Spanish Government)</t>
  </si>
  <si>
    <t>We thank Armadora Pereira and CDTI for financial support during the projects AQUOPUS (IDI-20170704) and OCTOLARVAE (IDI-20190479) . We thank Dr. Angel Gonzalez for institutional support during both projects and the technical assistance of Lourdes Nieto, Ruben Chamorro, Xoan Martinez and Felix Alvarez from IIM-CSIC. We</t>
  </si>
  <si>
    <t>10.1016/j.applanim.2024.106294</t>
  </si>
  <si>
    <t>Agriculture, Dairy &amp; Animal Science; Behavioral Sciences; Veterinary Sciences</t>
  </si>
  <si>
    <t>Agriculture; Behavioral Sciences; Veterinary Sciences</t>
  </si>
  <si>
    <t>WOS:001246216600001</t>
  </si>
  <si>
    <t>MARINE ECOLOGY-AN EVOLUTIONARY PERSPECTIVE</t>
  </si>
  <si>
    <t>Barrett, CJ; Brazier, A</t>
  </si>
  <si>
    <t>Barrett, C. J.; Brazier, A.</t>
  </si>
  <si>
    <t>Happy families? Insight into the coexistence between the curled octopus (Eledone cirrhosa) and common octopus (Octopus vulgaris) in waters around the UK</t>
  </si>
  <si>
    <t>cephalopods; coexistence; co-occurrence; octopus fisheries; spatial overlap; temperate</t>
  </si>
  <si>
    <t>This case study investigated the co-occurrence of the curled octopus (Eledone cirrhosa) and common octopus (Octopus vulgaris), in waters around the United Kingdom. The findings suggest that coexistence may be maintained because of the lack of competition for E. cirrhosa against the seemingly declining O. vulgaris populations, and that habitat and temporal partitioning are the likely mechanisms. It is contemplated whether species misidentification may an important factor in masking the accuracy of population dynamics of co-occurring octopus species, and, as such, potential uncertainty in octopus coexistence and any future fishery management decisions. It is confidently suggested that, currently, only two octopus species are resident to UK waters. Now, further studies should include diet partitioning to determine whether diet partitioning is a mechanism for E. cirrhosa and O. vulgaris coexistence, and monitoring may make us understand their population dynamics.</t>
  </si>
  <si>
    <t>[Barrett, C. J.] CEFAS, Lowestoft, Suffolk, England; [Barrett, C. J.; Brazier, A.] RPS Grp, Chepstow, Wales; [Barrett, C. J.] Cefas, Pakefield Rd, Lowestoft NR33 0HT, Suffolk, England</t>
  </si>
  <si>
    <t>Centre for Environment Fisheries &amp; Aquaculture Science; Centre for Environment Fisheries &amp; Aquaculture Science</t>
  </si>
  <si>
    <t>Barrett, CJ (corresponding author), Cefas, Pakefield Rd, Lowestoft NR33 0HT, Suffolk, England.</t>
  </si>
  <si>
    <t>chris.barrett@tetratech.com</t>
  </si>
  <si>
    <t>10.1111/maec.12803</t>
  </si>
  <si>
    <t>MAR 2024</t>
  </si>
  <si>
    <t>WOS:001194066900001</t>
  </si>
  <si>
    <t>Salvador, B; Cabanellas-Reboredo, M; Garci, ME; González, AF; Hernández-Urcera, J</t>
  </si>
  <si>
    <t>Salvador, Beatriz; Cabanellas-Reboredo, Miguel; Garci, Manuel E.; Gonzalez, Angel F.; Hernandez-Urcera, Jorge</t>
  </si>
  <si>
    <t>The best defense is a good offense: Anti-predator behavior of the common octopus (Octopus vulgaris) against conger eel attacks</t>
  </si>
  <si>
    <t>cephalopods; conger eel; defense strategy; octopus; survival tactics</t>
  </si>
  <si>
    <t>LIFE-HISTORY; REPRODUCTION; PREDATOR; BODY</t>
  </si>
  <si>
    <t>We present the description of defensive behavior in wild Octopus vulgaris against conger eel (Conger conger) attacks based on three video sequences recorded by recreational SCUBA divers in the eastern Atlantic off the coast of Galicia (NW Spain) and in the Cantabrian Sea (NW Spain). These records document common traits in defensive behavior: (1) the octopuses enveloped the conger eel's head to obscure its view; (2) they covered the eel's gills in an attempt to suffocate it; (3) they released ink; (4) the octopuses lost some appendages because of the fight. In the third video, the octopus did not exhibit the defensive behavior described in the first two videos due to an inability to utilize its arms in defense, and the conger eel's success in capturing octopuses is discussed. Additionally, both the cost that the octopus could face by losing some arms during the fight and whether the experience it acquires can be an advantage for future encounters are analyzed. The defensive behavior exhibited by octopuses in this study highlights their ability to survive in a hostile environment and serves as an example of the extensive repertoire of anti-predator strategies employed by these cephalopods.</t>
  </si>
  <si>
    <t>[Salvador, Beatriz; Garci, Manuel E.; Gonzalez, Angel F.; Hernandez-Urcera, Jorge] Inst Marine Res IIM CSIC, ECOBIOMAR Res Grp, Vigo, Spain; [Cabanellas-Reboredo, Miguel] CSIC, Natl Ctr Spanish Inst Oceanog, Palma De Mallorca, Balearic, Spain</t>
  </si>
  <si>
    <t>Hernández-Urcera, J (corresponding author), Inst Marine Res IIM CSIC, ECOBIOMAR Res Grp, Eduardo Cabello 6, Vigo 36208, Spain.</t>
  </si>
  <si>
    <t>Ministerio de Ciencia e Innovacin</t>
  </si>
  <si>
    <t>The authors express their sincere thanks to the citizen scientists and divers who have shared their videos, especially to Luis Laria, Jesus Llames, and Alberto Otero. The authors also thank the Club de Buceo Ons for their support in this study. The authors also express gratitude to the three anonymous referees for their helpful comments that improved the quality of the manuscript.</t>
  </si>
  <si>
    <t>MAR 19</t>
  </si>
  <si>
    <t>e11107</t>
  </si>
  <si>
    <t>10.1002/ece3.11107</t>
  </si>
  <si>
    <t>WOS:001187378300001</t>
  </si>
  <si>
    <t>Prado, P; Baeta, M; Mestre, E; Solis, MA; Sanhauja, I; Gairin, I; Camps-Castellà, J; Falco, S; Ballesteros, M</t>
  </si>
  <si>
    <t>Prado, Patricia; Baeta, Marc; Mestre, Estel; Solis, Marco Antonio; Sanhauja, Ignasi; Gairin, Ignasi; Camps-Castella, Judith; Falco, Silvia; Ballesteros, Manuel</t>
  </si>
  <si>
    <t>Trophic role and predatory interactions between the blue crab, Callinectes sapidus, and native species in open waters of the Ebro Delta</t>
  </si>
  <si>
    <t>ESTUARINE COASTAL AND SHELF SCIENCE</t>
  </si>
  <si>
    <t>Stable isotope analyses; Isotopic niche overlap; MixSiar; 15 N fractionation; Octopus vulgaris</t>
  </si>
  <si>
    <t>STABLE-ISOTOPE FRACTIONATION; FEEDING-HABITS; COASTAL WATERS; RATHBUN 1896; FOOD-WEB; POSITION; RECORDS; GULF; ENRICHMENT; ABUNDANCE</t>
  </si>
  <si>
    <t>The Ebro Delta has become a major blue crab (Callinectes sapidus) fishery area in the NW Mediterranean, but there is limited information on factors controlling the abundance of populations in open waters, a crucial habitat for ovigerous females. Here, we use a stable isotope approach (delta 15N and delta 13C), to assess blue crab trophic position, the potential consumption of food items using mixing models, and the isotopic niche overlap with local commercial species. For Octopus vulgaris, a potential blue crab key predator, a trophic enrichment experiment was also conducted to further assess predation control in wild populations. The blue crab showed 1.6 times higher trophic position than in other habitats of the Ebro Delta, and similar to that found in the harbor crab, Liocarcinus depurator, and several predatory fish. Additionally, the isotopic niche of blue crabs showed overlaps from 46.2 to 14.9% with native predators, and mixing models also suggest even dietary contributions throughout the food web. For O. vulgaris, field results showed a trophic position of 3.93, lower than that of blue crab, and lower delta 15N signatures were also obtained in a captivity experiment drawing negative fractionation (-1.1%o). We conclude that high dietary contribution of animal prey might provide a high protein diet that could be crucial for allowing the maintenance of a large local population, but the overall functional trophic similarity could also disfavor local native species. The similarity between experimental fractionation and field differences between predator and prey (-1.6%o) suggests that predation of blue crab is possible, but further research is needed to clarify the metabolic routes involved in octopus delta 15N fractionation.</t>
  </si>
  <si>
    <t>[Prado, Patricia; Mestre, Estel; Sanhauja, Ignasi; Gairin, Ignasi] IRTA St Carles de la Rapita, Ctra Poble Nou Km 5-5, St Carles De La Rapita 43540, Tarragona, Spain; [Prado, Patricia] Univ Catolica Valencia SVM, Inst Invest Medio Ambiente &amp; Ciencia Marina IMEDMA, C Explanada Puerto S-N, Calpe 03710, Alicante, Spain; [Baeta, Marc; Solis, Marco Antonio; Camps-Castella, Judith; Ballesteros, Manuel] Univ Barcelona UB, Dept Biol Evolut Ecol &amp; Ciencies Ambientals, Ave Diagonal 643, Barcelona 08028, Spain; [Camps-Castella, Judith] Univ Catolica Santisima Concepcion, Fac Ciencias, Dept Ecol, Concepcion 4090540, Chile; [Falco, Silvia] Univ Politecn Valencia, Escuela Politecn Super Gandia, C Paranimf 1, Gandia 46730, Valencia, Spain</t>
  </si>
  <si>
    <t>IRTA; Universidad Catolica de Valencia San Vicente Martir; University of Barcelona; Universidad Catolica de la Santisima Concepcion; Universitat Politecnica de Valencia</t>
  </si>
  <si>
    <t>Prado, P (corresponding author), IRTA St Carles de la Rapita, Ctra Poble Nou Km 5-5, St Carles De La Rapita 43540, Tarragona, Spain.</t>
  </si>
  <si>
    <t>patricia.prado@ucv.es</t>
  </si>
  <si>
    <t>Departament d'Agricultura, Ramaderia, Pesca i Alimentacio through the Bival Cat project [CAT 152CAT]; Spanish National Institute for Agricultural and Food Research and Technology (INIA); Spanish Government (Ministry of Science and Technology) [PID2020-118476RR-C21]</t>
  </si>
  <si>
    <t>Departament d'Agricultura, Ramaderia, Pesca i Alimentacio through the Bival Cat project; Spanish National Institute for Agricultural and Food Research and Technology (INIA)(Instituto de Investigacion Agropecuaria (INIA)); Spanish Government (Ministry of Science and Technology)(Spanish Government)</t>
  </si>
  <si>
    <t>Financial support for fieldwork and SIA was provided by the Departament d'Agricultura, Ramaderia, Pesca i Alimentacio through the Bival Cat project (Ref. CAT 152CAT) to M. Ballesteros. P. Prado was contracted under the INIA-CCAA research program for postdoctoral incorporation from the Spanish National Institute for Agricultural and Food Research and Technology (INIA) . Stabling of O. vulgaris was supported by the Spanish Government (Ministry of Science and Technology) under the ECESIS project (PID2020-118476RR-C21) to P. Prado and S. Falco. Authors are also grateful to C. Alcaraz for assessment with script preparation and interpretation of SIBER results, and to K.B. Andree, for a double comprehensive review and correction of English throughout the ms. We would also like to thank the detailed review conducted by two anonymous referees that has been of great help for improving the overall quality of the ms.</t>
  </si>
  <si>
    <t>10.1016/j.ecss.2024.108638</t>
  </si>
  <si>
    <t>JAN 2024</t>
  </si>
  <si>
    <t>WOS:001170900200001</t>
  </si>
  <si>
    <t>Rodríguez-Barreto, D; Sanz-González, JC; Martín, MV; Arrieta, JM; Almansa, E</t>
  </si>
  <si>
    <t>Rodriguez-Barreto, Deiene; Sanz-Gonzalez, Juan Carlos; Martin, M. Virginia; Arrieta, Jesus M.; Almansa, Eduardo</t>
  </si>
  <si>
    <t>Sex-specific bacterial microbiome variation in octopus vulgaris skin</t>
  </si>
  <si>
    <t>FRONTIERS IN MICROBIOLOGY</t>
  </si>
  <si>
    <t>cephalopods; octopus; microbiome; skin; sex; aquaculture</t>
  </si>
  <si>
    <t>ACCESSORY NIDAMENTAL GLAND; PROBIOTICS; CEPHALOPODS; CHROMATOPHORES; DIMORPHISM; SYSTEM; CUVIER; LIGHT</t>
  </si>
  <si>
    <t>Growing knowledge of the host-microbiota of vertebrates has shown the prevalence of sex-specific differences in the microbiome. However, there are virtually no studies assessing sex-associated variation in the microbiome of cephalopods. Here we assess sex-specific variation in the common octopus (Octopus vulgaris) skin microbiome using amplicon sequencing targeting the V4 hypervariable region of prokaryote 16S rRNA genes. Skin and mantle-associated mucus was collected from wild adult individuals of common Octopus (Octopus vulgaris) (9 males and 7 females of similar size). There were no significant differences in the alpha diversity of microbial communities associated with skin or mantle mucosa between sexes. However, our results clearly indicate that adult octopus males and females have a distinct microbial community composition in both skin and mantle associated mucus communities, with female microbiome being dominated by Firmicutes (48.1%), while that of males contained a majority of Proteobacteria (60.5%), with Firmicutes representing only 3.30%, not finding significant differentiation in the microbial communities between the tissues explored. The dominance of different taxa in the skin of O. vulgaris females and males (e.g., Mycoplasmatales and Lactococcus in females and Rhizobiales and Rhodobacteriales in males) suggests a sex-specific symbiosis in which those microbes benefit from easy access to distinct substrates present in female and male skin, respectively. Given the lack of differences in size between specimens of both sexes in this study, we hypothesize differences in hormone profile, as well as behavioral or ecological differences between sexes in the wild, as the main drivers of microbiome differentiation between sexes. Most knowledge of cephalopod microbiota is limited to the digestive tract and the reproductive system. However, cephalopod skin is an organ with a plethora of functions. This is a first attempt to characterize cephalopod skin microbiota and determine sex influence on it.</t>
  </si>
  <si>
    <t>[Rodriguez-Barreto, Deiene; Sanz-Gonzalez, Juan Carlos; Martin, M. Virginia; Arrieta, Jesus M.; Almansa, Eduardo] CSIC, Canary Isl Oceanog Ctr, Spanish Inst Oceanog IEO, Santa Cruz De Tenerife, Spain; [Rodriguez-Barreto, Deiene] Univ La Laguna, Santa Cruz De Tenerife, Spain; [Sanz-Gonzalez, Juan Carlos] Ctr Tecnol Naval &amp; Mar CTN, Murcia, Spain</t>
  </si>
  <si>
    <t>Consejo Superior de Investigaciones Cientificas (CSIC); Universidad de la Laguna</t>
  </si>
  <si>
    <t>Rodríguez-Barreto, D (corresponding author), CSIC, Canary Isl Oceanog Ctr, Spanish Inst Oceanog IEO, Santa Cruz De Tenerife, Spain.;Rodríguez-Barreto, D (corresponding author), Univ La Laguna, Santa Cruz De Tenerife, Spain.</t>
  </si>
  <si>
    <t>din_rb@hotmail.com</t>
  </si>
  <si>
    <t>Fundacin CajaCanarias [2019SP22]; European Maritime and Fisheries Fund (EMFF) [PID2021-16824NB-C31, MCIC/AEI/10.13039/501100011033]; ERDF A way of Making Europe</t>
  </si>
  <si>
    <t>Fundacin CajaCanarias; European Maritime and Fisheries Fund (EMFF); ERDF A way of Making Europe</t>
  </si>
  <si>
    <t>We would like to acknowledge IEO (Instituto Espanol de Oceanografia) Canarias for logistic facilities. This work has been funded and supported by the following grants: OCTOBACT, 2019SP22 funded by Fundacion Caja Canarias, the European Maritime and Fisheries Fund (EMFF), and grant PID2021-16824NB-C31 funded by MCIC/AEI/10.13039/501100011033 and ERDF A way of Making Europe.r This work has been funded and supported by the following grants: OCTOBACT, 2019SP22 funded by Fundacion CajaCanarias, the European Maritime and Fisheries Fund (EMFF), and grant PID2021-16824NB-C31 funded by MCIC/AEI/10.13039/501100011033 and ERDF A way of Making Europe.</t>
  </si>
  <si>
    <t>10.3389/fmicb.2023.1233661</t>
  </si>
  <si>
    <t>WOS:001156406500001</t>
  </si>
  <si>
    <t>Mesa, LD</t>
  </si>
  <si>
    <t>del Valle Mesa, Laura</t>
  </si>
  <si>
    <t>Small-scale octopus fishery with clay shelter pots: intangible cultural heritage and sustainable practices</t>
  </si>
  <si>
    <t>INTERNATIONAL JOURNAL OF INTANGIBLE HERITAGE</t>
  </si>
  <si>
    <t>intangible cultural heritage; fishing cultural heritage; sustainable heritage; artisanal octopus fishing</t>
  </si>
  <si>
    <t>VULGARIS</t>
  </si>
  <si>
    <t>The Declaration of the United Nations Conference on the Human Environment (United Nations 1972) and the Convention Concerning the Protection of the World Cultural and Natural Heritage (UNESCO 1972) paved the way for the Declarations of the Rio+20 Sustainable Development Conference (United Nations 2012) and the Convention for the Safeguarding of the Intangible Cultural Heritage (UNESCO 2003). Some of these international declarations aim to achieve goals relating to environmental, economic and social sustainability which incorporate culture as a transversal axis. The knowledge and ways of life preserved through past generations have proven themselves to be socially and naturally sustainable, and many of them constitute examples of intangible cultural heritage. Artisanal fishing with clay shelter pots for the common octopus, a resource threatened by overfishing, is an example of such heritage that would result in a more sustainable way of life and better protection of our ecosystem resources if safeguarded (Nocca 2017).</t>
  </si>
  <si>
    <t>[del Valle Mesa, Laura] Univ Huelva, Grp Observ Cultura &amp; Patrimonio, Huelva, Spain</t>
  </si>
  <si>
    <t>Universidad de Huelva</t>
  </si>
  <si>
    <t>Mesa, LD (corresponding author), Univ Huelva, Grp Observ Cultura &amp; Patrimonio, Huelva, Spain.</t>
  </si>
  <si>
    <t>Mobility Program Erasmus+ internships [2019-1-ES01-KA103-062555]; MCIN/AEI [PID2022-138651NB-I00]; ERDF: a way of making Europe</t>
  </si>
  <si>
    <t>Mobility Program Erasmus+ internships; MCIN/AEI; ERDF: a way of making Europe</t>
  </si>
  <si>
    <t>This research has been financed within the framework of the International Mobility Grants to Centers of Excellence for Doctoral Students. CEI-MAR 2021. It has also been financed by the Mobility Program Erasmus+ internships, and as part of the Project 2019-1-ES01-KA103-062555, and by grant project PID2022-138651NB-I00 funded by MCIN/AEI/10.13039/501100011033, and by 'ERDF: a way of making Europe'.</t>
  </si>
  <si>
    <t>Humanities, Multidisciplinary</t>
  </si>
  <si>
    <t>Arts &amp; Humanities - Other Topics</t>
  </si>
  <si>
    <t>WOS:001381438700001</t>
  </si>
  <si>
    <t>Boiteanu, CN; Ciocîrlie, N; Neacsu, F; Gonciarov, M</t>
  </si>
  <si>
    <t>Boiteanu, Catalina Nicoleta; Ciocirlie, Nicoleta; Neacsu, Florin; Gonciarov, Magda</t>
  </si>
  <si>
    <t>INVESTIGATING THE EFFECTS OF STORAGE TEMPERATURE ON THE QUALITY OF FROZEN CEPHALOPODA: A MULTIMODAL APPROACH</t>
  </si>
  <si>
    <t>SCIENTIFIC PAPERS-SERIES D-ANIMAL SCIENCE</t>
  </si>
  <si>
    <t>frozen cephalopods; quality attributes; sensory properties; storage temperature</t>
  </si>
  <si>
    <t>Cephalopoda classes are highly valued for their culinary appeal and nutritional value. However, their perishability necessitates careful handling and optimal storage conditions to maintain their quality. This study aimed to investigate the influence of storage temperature on the quality attributes and sensory properties of five commonly consumed cephalopod types: whole squid, whole squid tubes, octopus, Loligo spp. (squid tubes), and Sepia spp. (cuttlefish tubes) classified in five different species (Loligo vulgaris (European squid), Loligo gahi (Japanese squid), Octopus vulgaris (Octopus), Sepia officinalis (Cuttlefish) and Illex argentinus (Argentine shortfin squid)). Lower temperatures (-23 degrees C) significantly prolonged shelf life, delaying spoilage onset and preserving taste. The product named calamar had the fastest spoilage rate, followed by whole squid and tube squid, while Octopus had the slowest spoilage rate. Appropriate storage practices are vital for ensuring the freshness and palatability of frozen cephalopods</t>
  </si>
  <si>
    <t>[Boiteanu, Catalina Nicoleta; Ciocirlie, Nicoleta; Gonciarov, Magda] Univ Agron Sci &amp; Vet Med Bucharest, 59 Marasti Blvd,Dist 1, Bucharest, Romania; [Neacsu, Florin] Baylor Univ, Dept Chem &amp; Biochem, Waco, TX 76798 USA</t>
  </si>
  <si>
    <t>University of Agronomic Science &amp; Veterinary Medicine - Bucharest; Baylor University</t>
  </si>
  <si>
    <t>Boiteanu, CN (corresponding author), Univ Agron Sci &amp; Vet Med Bucharest, 59 Marasti Blvd,Dist 1, Bucharest, Romania.</t>
  </si>
  <si>
    <t>catalina-nicoleta.boiteanu@fmvb.usamv.ro</t>
  </si>
  <si>
    <t>The study was supported by the Max Rubner Institute in Hamburg, Germany and a DAAD scholarship for young researchers. Sincere thanks to Mrs. Heike Muller from Thunen-Institut Hamburg, Mr. Tudor Lauren?iu and Mrs. Claudia Sala for all their support provided.</t>
  </si>
  <si>
    <t>Agriculture, Dairy &amp; Animal Science</t>
  </si>
  <si>
    <t>Agriculture</t>
  </si>
  <si>
    <t>WOS:001304632500048</t>
  </si>
  <si>
    <t>Röckner, JL; Lopes, VM; Paula, JR; Pegado, MR; Seco, MC; Diniz, M; Repolho, T; Rosa, R</t>
  </si>
  <si>
    <t>Roeckner, Janina Leonie; Lopes, Vanessa M.; Paula, Jose Ricardo; Pegado, Maria Rita; Seco, Martim Costa; Diniz, Mario; Repolho, Tiago; Rosa, Rui</t>
  </si>
  <si>
    <t>Octopus crawling on land: physiological and biochemical responses of Octopus vulgaris to emersion</t>
  </si>
  <si>
    <t>Tidepools; Air exposure; Octopus vulgaris; Metabolism; Oxidative stress</t>
  </si>
  <si>
    <t>OXYGEN-CONSUMPTION; BLOOD-FLOW; HEAT-SHOCK; OXIDATIVE STRESS; EPAULETTE SHARK; METABOLIC-RATE; CLIMATE-CHANGE; RESPIROMETRY; CEPHALOPODS; HYPOXIA</t>
  </si>
  <si>
    <t>Cephalopods are well known for their cognitive capabilities and unique behavioural repertoires. Yet, certain life strategies and behaviours are still not fully understood. For instance, coastal octopuses have been documented (mainly through citizen science and TV documentaries) to occasionally leave the water and crawl in intertidal areas. Yet, there is a complete lack of knowledge on this behaviour's physiological and biochemical basis. Within this context, this study aimed to investigate, for the first time, physiological (routine and maximum metabolic rates and aerobic scope) and biochemical (i.e., antioxidant enzymes activities, heat shock protein and ubiquitin levels, DNA damage, lipid peroxidation) responses of the common octopus, Octopus vulgaris, to emersion. The octopuses' physiological performance was determined by measuring metabolic rates in different emersion treatments and biochemical markers. The size-adjusted maximum metabolic rates (MMRadj) of octopuses exposed to 2:30 min of air exposure followed by re-immersion did not differ significantly from the MMRadj of the chased individuals (control group). Yet, most biochemical markers revealed no significant differences among the different emersion treatments. Our findings showed that O. vulgaris could tolerate exposure to short-term emersion periods due to an efficient antioxidant machinery and cellular repair mechanisms. Alongside, we argue that the use of atmospheric air through the mucus-covered gills and/or cutaneous respiration may also help octopus withstand emersion and crawling on land.</t>
  </si>
  <si>
    <t>[Roeckner, Janina Leonie; Lopes, Vanessa M.; Paula, Jose Ricardo; Pegado, Maria Rita; Seco, Martim Costa; Repolho, Tiago; Rosa, Rui] Univ Lisbon, Fac Ciencias, Lab Maritimo Guia, MARE Marine &amp; Environm Sci Ctr,ARNET,Aquat Res Net, Cascais, Portugal; [Roeckner, Janina Leonie] Christian Albrechts Univ Kiel, Fac Math &amp; Nat Sci, Helmholtz Ctr Ocean Res Kiel, GEOMAR, Kiel, Germany; [Diniz, Mario] Univ Lisbon, Sch Sci &amp; Technol, Dept Chem, UCIBIO,Appl Mol Biosci Unit,NOVA, P-2819 516 Caparica, Portugal; [Paula, Jose Ricardo; Repolho, Tiago; Rosa, Rui] Univ Lisbon, Fac Ciencias, Dept Biol Anim, P-1200 Lisbon, Portugal; [Diniz, Mario] Univ NOVA Lisboa, Inst Hlth &amp; Bioecon, NOVA Sch Sci &amp; Technol, Associate Lab i4HB, P-2829 516 Caparica, Portugal</t>
  </si>
  <si>
    <t>Universidade de Lisboa; Helmholtz Association; GEOMAR Helmholtz Center for Ocean Research Kiel; University of Kiel; Universidade de Lisboa; Universidade de Lisboa; Universidade Nova de Lisboa</t>
  </si>
  <si>
    <t>Röckner, JL (corresponding author), Univ Lisbon, Fac Ciencias, Lab Maritimo Guia, MARE Marine &amp; Environm Sci Ctr,ARNET,Aquat Res Net, Cascais, Portugal.;Röckner, JL (corresponding author), Christian Albrechts Univ Kiel, Fac Math &amp; Nat Sci, Helmholtz Ctr Ocean Res Kiel, GEOMAR, Kiel, Germany.</t>
  </si>
  <si>
    <t>janina.roeckner@gmail.com</t>
  </si>
  <si>
    <t>Fundao para a Cincia e a Tecnologia; GEOMAR-Helmholtz Centre for Ocean Research Kiel</t>
  </si>
  <si>
    <t>Fundao para a Cincia e a Tecnologia(Fundacao para a Ciencia e a Tecnologia (FCT)); GEOMAR-Helmholtz Centre for Ocean Research Kiel</t>
  </si>
  <si>
    <t>The authors wish to acknowledge the input of Frank Melzner from GEOMAR-Helmholtz Centre for Ocean Research Kiel. This work benefitted from his expertise and helpful suggestions.</t>
  </si>
  <si>
    <t>10.1007/s00227-023-04333-x</t>
  </si>
  <si>
    <t>WOS:001107984900001</t>
  </si>
  <si>
    <t>Günther, B; Bierne, N; Borsa, P; Perrin, C; Ripoll, O; Darbois, F; Arnaud-Haond, S</t>
  </si>
  <si>
    <t>Gunther, Babett; Bierne, Nicolas; Borsa, Philippe; Perrin, Cecile; Ripoll, Olivier; Darbois, Fanny; Arnaud-Haond, Sophie</t>
  </si>
  <si>
    <t>Citizen science approach for genetic species identification in a local French seafood speciality</t>
  </si>
  <si>
    <t>Processed food; Mislabelling; Citizen science; COI; Cephalopods; Molecular Barcode</t>
  </si>
  <si>
    <t>SQUID DOSIDICUS-GIGAS; DNA; PRODUCTS</t>
  </si>
  <si>
    <t>In coastal regions of France, seafood is a key element of traditional cuisine and is valued by consumers as quality food. However, in the last decades, the mislabelling of food products has undermined consumers' confidence in their food choices. In this study, we used genetic identification of the seafood species used to prepare a traditional dish of the city of Se`te, to initiate a discussion on food labelling and sustainability. The dish, named Tielle se ' toise, is a pie traditionally filled with octopus cooked in a spicy tomato sauce. The recent substitution of octopus by jumbo flying squid (Dosidicus gigas) has triggered debates among locals about how the use of nonnative cephalopod species impacts the flavour of tielles. To test this hypothesis, we coordinated a tasting event involving 35 testers from the local population and used CO1-gene metabarcoding to identify the species composition in 25 different tielles. Besides locally available octopuses' species, including common commercial species Eledone cirrhosa, E. moschata and Octopus vulgaris, we found jumbo flying squid in 17 out of 25 tielles, of which eight (35%) were mislabelled as octopus-based products. Contrary to local belief, anonymous blind-tasting evaluations showed no significant correlation between the flavour or price of a tielle and the cephalopod composition of its filling. Our results support the impact of texture, acidity, and spices on flavour, suggesting that flavour depends more on how tielles are prepared than on the cephalopod species used. The participants in our study expressed their willingness to make informed choices about purchasing tielles based on the carbon footprint and its impact on cephalopod stocks. Our results call for further research to enable citizens to make informed food choices. Our study also highlights the need for improved labelling of traded cephalopods to improve communication between the food industry and society, as well as the possibility of evaluating this with citizen science.</t>
  </si>
  <si>
    <t>[Gunther, Babett; Bierne, Nicolas] Univ Montpellier, ISEM, CNRS, EPHE,IRD, Montpellier, France; [Gunther, Babett; Arnaud-Haond, Sophie] Univ Montpellier, MARBEC, CNRS, Ifremer,IRD, Sete, France; [Borsa, Philippe] Inst Rech Dev IRD, UMR 250 S, Montpellier, France; [Darbois, Fanny] FDC Conseil, Sete, France</t>
  </si>
  <si>
    <t>Universite PSL; Centre National de la Recherche Scientifique (CNRS); Institut de Recherche pour le Developpement (IRD); Universite de Montpellier; Ecole Pratique des Hautes Etudes (EPHE); Ifremer; Centre National de la Recherche Scientifique (CNRS); Institut de Recherche pour le Developpement (IRD); Universite de Montpellier; Institut de Recherche pour le Developpement (IRD)</t>
  </si>
  <si>
    <t>Günther, B (corresponding author), Univ Montpellier, ISEM, CNRS, EPHE,IRD, Montpellier, France.;Günther, B; Arnaud-Haond, S (corresponding author), Univ Montpellier, MARBEC, CNRS, Ifremer,IRD, Sete, France.</t>
  </si>
  <si>
    <t>guenther.babett@gmail.com; sophie.arnaud-haond@umontpellier.fr</t>
  </si>
  <si>
    <t>European Union [818123]</t>
  </si>
  <si>
    <t>European Union(European Union (EU))</t>
  </si>
  <si>
    <t>Babett Guenther's Postdoctoral fellowship was supported by the European Union's Horizon 2020 research and innovation program, the Horizon 2020 iAtlantic project (Grant Agreement No. 818123) . The rest of the event was supported by the club of enthusiasts who organised the project.</t>
  </si>
  <si>
    <t>10.1016/j.ijgfs.2023.100823</t>
  </si>
  <si>
    <t>DEC 2023</t>
  </si>
  <si>
    <t>WOS:001139049700001</t>
  </si>
  <si>
    <t>Biochemistry &amp; Molecular Biology; Ecology; Evolutionary Biology</t>
  </si>
  <si>
    <t>Biochemistry &amp; Molecular Biology; Environmental Sciences &amp; Ecology; Evolutionary Biology</t>
  </si>
  <si>
    <t>Dissegna, A; Borrelli, L; Ponte, G; Chiandetti, C; Fiorito, G</t>
  </si>
  <si>
    <t>Dissegna, Andrea; Borrelli, Luciana; Ponte, Giovanna; Chiandetti, Cinzia; Fiorito, Graziano</t>
  </si>
  <si>
    <t>Octopus vulgaris Exhibits Interindividual Differences in Behavioural and Problem-Solving Performance</t>
  </si>
  <si>
    <t>BIOLOGY-BASEL</t>
  </si>
  <si>
    <t>problem solving; extractive foraging; innovation; behavioural plasticity; seasonality; octopus; cephalopods; social learning; neophilia</t>
  </si>
  <si>
    <t>TOOL USE; EVOLUTION; CEPHALOPODS; INNOVATION; COGNITION; CONSCIOUSNESS; NEOPHOBIA; INDIVIDUALS; PLASTICITY; SELECTION</t>
  </si>
  <si>
    <t>By presenting individual Octopus vulgaris with an extractive foraging problem with a puzzle box, we examined the possible correlation between behavioural performances (e.g., ease of adaptation to captive conditions, prevalence of neophobic and neophilic behaviours, and propensity to learn individually or by observing conspecifics), biotic (body and brain size, age, sex) and abiotic (seasonality and place of origin) factors. We found more neophilic animals showing shorter latencies to approach the puzzle box and higher probability of solving the task; also, shorter times to solve the task were correlated with better performance on the individual learning task. However, the most neophilic octopuses that approached the puzzle box more quickly did not reach the solution earlier than other individuals, suggesting that strong neophilic tendency may lead to suboptimal performance at some stages of the problem-solving process. In addition, seasonal and environmental characteristics of location of origin appear to influence the rate of expression of individual traits central to problem solving. Overall, our analysis provides new insights into the traits associated with problem solving in invertebrates and highlights the presence of adaptive mechanisms that promote population-level changes in octopuses' behavioural traits.</t>
  </si>
  <si>
    <t>[Dissegna, Andrea; Chiandetti, Cinzia] Univ Trieste, Dept Life Sci, I-34127 Trieste, Italy; [Borrelli, Luciana] Stn Zool Anton Dohrn, Anim Physiol &amp; Evolut Lab, Villa Comunale, I-80121 Naples, Italy; [Ponte, Giovanna; Fiorito, Graziano] Dept Biol &amp; Evolut Marine Organisms, Stn Zool Anton Dohrn, Villa Comunale, I-80121 Naples, Italy</t>
  </si>
  <si>
    <t>University of Trieste; Stazione Zoologica Anton Dohrn; Stazione Zoologica Anton Dohrn</t>
  </si>
  <si>
    <t>Fiorito, G (corresponding author), Dept Biol &amp; Evolut Marine Organisms, Stn Zool Anton Dohrn, Villa Comunale, I-80121 Naples, Italy.</t>
  </si>
  <si>
    <t>andrea.dissegna@units.it; info@thesmartoctopus.com; giovanna.ponte@szn.it; cchiandetti@units.it; graziano.fiorito@szn.it</t>
  </si>
  <si>
    <t>Stazione Zoologica Anton Dohrn</t>
  </si>
  <si>
    <t>Authors acknowledge the support of the Stazione Zoologica Anton Dohrn (intramuralresearch fund)</t>
  </si>
  <si>
    <t>10.3390/biology12121487</t>
  </si>
  <si>
    <t>WOS:001132697600001</t>
  </si>
  <si>
    <t>MAR 1</t>
  </si>
  <si>
    <t>Di Cosmo, A; Maselli, V; Cirillo, E; Norcia, M; de Zoysa, HKS; Polese, G; Winlow, W</t>
  </si>
  <si>
    <t>Di Cosmo, Anna; Maselli, Valeria; Cirillo, Emanuela; Norcia, Mariangela; de Zoysa, Heethaka K. S.; Polese, Gianluca; Winlow, William</t>
  </si>
  <si>
    <t>The Use of Isoflurane and Adjunctive Magnesium Chloride Provides Fast, Effective Anaesthetization of Octopus vulgaris</t>
  </si>
  <si>
    <t>general anaesthetics; Octopus vulgaris; isoflurane; magnesium chloride; depth of anaesthesia; stress reduction</t>
  </si>
  <si>
    <t>PAIN; ANESTHETICS; SQUID</t>
  </si>
  <si>
    <t>A wide variety of substances have been used to anaesthetise invertebrates, but many are not anaesthetics and merely incapacitate animals rather than preventing pain. In essence, the role of an ideal general anaesthetic is to act as a muscle relaxant, an analgesic, an anaesthetic, and an amnesic. To achieve all these properties with a single substance is difficult, and various adjuvants usually need to be administered, resulting in a cocktail of drugs. In a clinical setting, the vast majority of patients are unaware of surgery being carried out and have no memory of it, so they can claim to have felt no pain, but this is much more difficult to demonstrate in invertebrates. Here, we show that 1% MgCl2, a muscle relaxant, is a useful adjuvant for the clinical anaesthetic isoflurane on Octopus vulgaris when applied alone in seawater for 10 min before the clinical anaesthetic. After this, full anaesthesia can be achieved in 5 min using 1% isoflurane insufflated into the saline still containing MgCl2. Full recovery takes place rapidly in about 10 to 15 min. The depth of anaesthesia was monitored using changes in respiratory rate, chromatophore pattern, and withdrawal movements of the arms and siphon. This methodology reduces stress on the animal and minimises the quantity of anaesthetic used.</t>
  </si>
  <si>
    <t>[Di Cosmo, Anna; Maselli, Valeria; Cirillo, Emanuela; Norcia, Mariangela; de Zoysa, Heethaka K. S.; Polese, Gianluca; Winlow, William] Univ Naples Federico II, Dept Biol, I-80126 Naples, Italy; [Di Cosmo, Anna; Cirillo, Emanuela] Univ Naples Federico II, PNRR MNESYS, I-80126 Naples, Italy; [de Zoysa, Heethaka K. S.] Rajarata Univ Sri Lanka, Fac Technol, Dept Bioproc Technol, Mihintale 50300, Sri Lanka; [Winlow, William] Univ Liverpool, Inst Ageing &amp; Chron Dis, Liverpool L69 3BX, England</t>
  </si>
  <si>
    <t>University of Naples Federico II; University of Naples Federico II; Rajarata University of Sri Lanka; University of Liverpool</t>
  </si>
  <si>
    <t>Di Cosmo, A; Winlow, W (corresponding author), Univ Naples Federico II, Dept Biol, I-80126 Naples, Italy.;Di Cosmo, A (corresponding author), Univ Naples Federico II, PNRR MNESYS, I-80126 Naples, Italy.</t>
  </si>
  <si>
    <t>dicosmo@unina.it; valeria.maselli@unina.it; emanuela.cirillo@unina.it; mariangela.norcia@unina.it; krishanthasameeradezoysa.heethaka@unina.it; gianluca.polese@unina.it; bill.winlow@gmail.com</t>
  </si>
  <si>
    <t>PNRR MNESYS-E63C22002170007-PE0000006, University of Naples Federico II</t>
  </si>
  <si>
    <t>10.3390/ani13223579</t>
  </si>
  <si>
    <t>WOS:001123322100001</t>
  </si>
  <si>
    <t>OCT 2023</t>
  </si>
  <si>
    <t>Destanovic, D; Schultz, DT; Styfhals, R; Cruz, F; Gómez-Garrido, J; Gut, M; Gut, I; Fiorito, G; Simakov, O; Alioto, TS; Ponte, G; Seuntjens, E</t>
  </si>
  <si>
    <t>Destanovic, Dalila; Schultz, Darrin T.; Styfhals, Ruth; Cruz, Fernando; Gomez-Garrido, Jessica; Gut, Marta; Gut, Ivo; Fiorito, Graziano; Simakov, Oleg; Alioto, Tyler S.; Ponte, Giovanna; Seuntjens, Eve</t>
  </si>
  <si>
    <t>A chromosome-level reference genome for the common octopus, Octopus vulgaris (Cuvier, 1797)</t>
  </si>
  <si>
    <t>G3-GENES GENOMES GENETICS</t>
  </si>
  <si>
    <t>coleoid cephalopods; chromosome-scale; Hi-C; Octopus vulgaris</t>
  </si>
  <si>
    <t>EVOLUTION; VISUALIZATION; CEPHALOPODS</t>
  </si>
  <si>
    <t>Cephalopods are emerging animal models and include iconic species for studying the link between genomic innovations and physiological and behavioral complexities. Coleoid cephalopods possess the largest nervous system among invertebrates, both for cell counts and brain-to-body ratio. Octopus vulgaris has been at the center of a long-standing tradition of research into diverse aspects of cephalopod biology, including behavioral and neural plasticity, learning and memory recall, regeneration, and sophisticated cognition. However, no chromosome-scale genome assembly was available for O. vulgaris to aid in functional studies. To fill this gap, we sequenced and assembled a chromosome-scale genome of the common octopus, O. vulgaris. The final assembly spans 2.8 billion basepairs, 99.34% of which are in 30 chromosome-scale scaffolds. Hi-C heatmaps support a karyotype of 1n = 30 chromosomes. Comparisons with other octopus species' genomes show a conserved octopus karyotype and a pattern of local genome rearrangements between species. This new chromosome-scale genome of O. vulgaris will further facilitate research in all aspects of cephalopod biology, including various forms of plasticity and the neural machinery underlying sophisticated cognition, as well as an understanding of cephalopod evolution.</t>
  </si>
  <si>
    <t>[Destanovic, Dalila; Schultz, Darrin T.; Simakov, Oleg] Univ Vienna, Dept Neurosci &amp; Dev Biol, A-1030 Vienna, Austria; [Styfhals, Ruth; Seuntjens, Eve] Katholieke Univ Leuven, Dept Biol, Anim Physiol &amp; Neurobiol Div, Lab Dev Neurobiol, B-3000 Leuven, Belgium; [Styfhals, Ruth; Fiorito, Graziano; Ponte, Giovanna] Stn Zool Anton Dohrn, Dept Biol &amp; Evolut Marine Organisms, I-80121 Naples, Italy; [Cruz, Fernando; Gomez-Garrido, Jessica; Gut, Marta; Gut, Ivo; Alioto, Tyler S.] Ctr Nacl Anal Genom CNAG, Barcelona 08028, Spain; [Seuntjens, Eve] Katholieke Univ Leuven, KU Leuven Inst Single Cell Om LISCO, B-3000 Leuven, Belgium; [Seuntjens, Eve] Katholieke Univ Leuven, Leuven Brain Inst, B-3000 Leuven, Belgium</t>
  </si>
  <si>
    <t>University of Vienna; KU Leuven; Stazione Zoologica Anton Dohrn; KU Leuven; KU Leuven</t>
  </si>
  <si>
    <t>Seuntjens, E (corresponding author), Katholieke Univ Leuven, Dept Biol, Anim Physiol &amp; Neurobiol Div, Lab Dev Neurobiol, B-3000 Leuven, Belgium.;Ponte, G (corresponding author), Stn Zool Anton Dohrn, Dept Biol &amp; Evolut Marine Organisms, I-80121 Naples, Italy.</t>
  </si>
  <si>
    <t>giovanna.ponte@szn.it; eve.seuntjens@kuleuven.be</t>
  </si>
  <si>
    <t>The authors acknowledge that some of the computational results of this work have been achieved using the Life Science Compute Cluster (LiSC) of the University of Vienna. We also acknowledge support from the National Genomics Infrastructure in Stockholm fun; University of Vienna; National Genomics Infrastructure in Stockholm - Science for Life Laboratory; Knut and Alice Wallenberg Foundation; Swedish Research Council</t>
  </si>
  <si>
    <t>The authors acknowledge that some of the computational results of this work have been achieved using the Life Science Compute Cluster (LiSC) of the University of Vienna. We also acknowledge support from the National Genomics Infrastructure in Stockholm fun(University of Vienna); University of Vienna(University of Vienna); National Genomics Infrastructure in Stockholm - Science for Life Laboratory; Knut and Alice Wallenberg Foundation(Knut &amp; Alice Wallenberg Foundation); Swedish Research Council(Swedish Research Council)</t>
  </si>
  <si>
    <t>The authors acknowledge that some of the computational results of this work have been achieved using the Life Science Compute Cluster (LiSC) of the University of Vienna. We also acknowledge support from the National Genomics Infrastructure in Stockholm funded by Science for Life Laboratory, the Knut and Alice Wallenberg Foundation and the Swedish Research Council, and NAISS/Uppsala Multidisciplinary Center for Advanced Computational Science for assistance with massively parallel sequencing and access to the UPPMAX computational infrastructure.</t>
  </si>
  <si>
    <t>DEC 6</t>
  </si>
  <si>
    <t>jkad220</t>
  </si>
  <si>
    <t>10.1093/g3journal/jkad220</t>
  </si>
  <si>
    <t>WOS:001095816400001</t>
  </si>
  <si>
    <t>Méndez, L; Rodríguez, A; Aubourg, SP; Medina, I</t>
  </si>
  <si>
    <t>Mendez, Lucia; Rodriguez, Alicia; Aubourg, Santiago P.; Medina, Isabel</t>
  </si>
  <si>
    <t>Low-Toxicity Solvents for the Extraction of Valuable Lipid Compounds from Octopus (Octopus vulgaris) Waste</t>
  </si>
  <si>
    <t>octopus; by-products; low-toxicity solvents; simplex-lattice design; optimization; phospholipids; EPA; DHA; polyunsaturated/saturated; omega 3/omega 6 ratio</t>
  </si>
  <si>
    <t>FISH-OIL; DIFFERENT TISSUES; HEALTH-BENEFITS; BY-PRODUCTS; PHOSPHOLIPIDS; QUALITY; EPA; DHA</t>
  </si>
  <si>
    <t>This study focused on the recovery of valuable lipid compounds from octopus (Octopus vulgaris) by-products. Extraction conditions of total lipids (TLs), phospholipids (PLs), eicosapentaenoic acid (EPA), and docosahexaenoic acid (DHA) were optimized by employing a Simplex-Lattice design; for it, different relative concentrations of three low-toxicity solvents (ethanol, acetone, and ethyl acetate) were considered. The optimization process was also addressed in reference to fatty acid (FA) ratios (total polyunsaturated FAs/total saturated FAs and total omega 3 FAs/total omega 6 FAs). The variance analysis of multiple regression data demonstrated that the quadratic model was significant (p &lt; 0.05) for TL, PL, and DHA values and the omega 3/omega 6 ratio. As a result, the following optimized values were obtained: 113.8 g.kg(-1) dry by-products (TLs), 217.3 g.kg(-1) lipids (PLs), 22.55 g.100 g(-1) total FAs (DHA), and 3.70 (omega 3/omega 6 ratio). According to the model developed, optimized values were shown to correspond to the following relative solvent concentrations (ethanol/acetone/ethyl acetate): 0.46/0.00/0.54, 0.93/0.07/0.00, 0.83/0.17/0.00, and 0.64/0.00/0.36, respectively. Comparison to yields obtained by the conventional chloroform/methanol method was carried out. A novel strategy based on the employment of low-toxicity solvents is proposed for the extraction of valuable lipid constituents from octopus waste. A different solvent ratio would be necessary according to the lipid compound concerned.</t>
  </si>
  <si>
    <t>[Mendez, Lucia; Aubourg, Santiago P.; Medina, Isabel] CSIC, Marine Res Inst, Dept Food Technol, Vigo 36208, Spain; [Rodriguez, Alicia] Univ Chile, Fac Chem &amp; Pharmaceut Sci, Dept Food Sci &amp; Chem Technol, Santiago 8380494, Chile</t>
  </si>
  <si>
    <t>Consejo Superior de Investigaciones Cientificas (CSIC); CSIC - Instituto de Investigaciones Marinas (IIM); Universidad de Chile</t>
  </si>
  <si>
    <t>Aubourg, SP (corresponding author), CSIC, Marine Res Inst, Dept Food Technol, Vigo 36208, Spain.</t>
  </si>
  <si>
    <t>luciamendez@iim.csic.es; arodrigm@uchile.cl; saubourg@iim.csic.es; medina@iim.csic.es</t>
  </si>
  <si>
    <t>SPANISH MINISTRY Of RESEARCH AND INNOVATION [RTI2018-095659-B-I00]; REDEMAR net [REFUPOLBO-2023]; CONCURSO VICERRECTORIA DE INVESTIGACION Y DESARROLLO (VID; University of Chile) [AYV10/01-22]</t>
  </si>
  <si>
    <t>SPANISH MINISTRY Of RESEARCH AND INNOVATION(Spanish Government); REDEMAR net; CONCURSO VICERRECTORIA DE INVESTIGACION Y DESARROLLO (VID; University of Chile)</t>
  </si>
  <si>
    <t>This research was funded by SPANISH MINISTRY Of RESEARCH AND INNOVATION, grant number RTI2018-095659-B-I00 (2019-2022), REDEMAR net, grant REFUPOLBO-2023, and CONCURSO VICERRECTORIA DE INVESTIGACION Y DESARROLLO (VID; University of Chile), grant AYV10/01-22.</t>
  </si>
  <si>
    <t>OCT</t>
  </si>
  <si>
    <t>10.3390/foods12193631</t>
  </si>
  <si>
    <t>WOS:001085202400001</t>
  </si>
  <si>
    <t>Grijalba, CCB; Monje, SVR; Gestal, C; Wollesen, T</t>
  </si>
  <si>
    <t>Grijalba, Cristian Camilo Barrera; Monje, Sonia Victoria Rodriguez; Gestal, Camino; Wollesen, Tim</t>
  </si>
  <si>
    <t>Octopod Hox genes and cephalopod plesiomorphies</t>
  </si>
  <si>
    <t>GASTROPOD HALIOTIS; LARVAL DEVELOPMENT; EXPRESSION; EVOLUTION; GENOME; REPRESSION; HEAD</t>
  </si>
  <si>
    <t>Few other invertebrates captivate our attention as cephalopods do. Octopods, cuttlefish, and squids amaze with their behavior and sophisticated body plans that belong to the most intriguing among mollusks. Little is, however, known about their body plan formation and the role of Hox genes. The latter homeobox genes pattern the anterior-posterior body axis and have only been studied in a single decapod species so far. Here, we study developmental Hox and ParaHox gene expression in Octopus vulgaris.Hox genes are expressed in a near-to-staggered fashion, among others in homologous organs of cephalopods such as the stellate ganglia, the arms, or funnel. As in other mollusks Hox1 is expressed in the nascent octopod shell rudiment. While ParaHox genes are expressed in an evolutionarily conserved fashion, Hox genes are also expressed in some body regions that are considered homologous among mollusks such as the cephalopod arms and funnel with the molluscan foot. We argue that cephalopod Hox genes are recruited to a lesser extent into the formation of non-related organ systems than previously thought and emphasize that despite all morphological innovations molecular data still reveal the ancestral molluscan heritage of cephalopods.</t>
  </si>
  <si>
    <t>[Grijalba, Cristian Camilo Barrera; Monje, Sonia Victoria Rodriguez; Wollesen, Tim] Univ Vienna, Dept Evolutionary Biol, Fac Life Sci, Djerassipl 1, A-1030 Vienna, Austria; [Gestal, Camino] Inst Marine Res IIM CSIC, Eduardo Cabello 6, Vigo 36208, Spain</t>
  </si>
  <si>
    <t>University of Vienna; Consejo Superior de Investigaciones Cientificas (CSIC); CSIC - Instituto de Investigaciones Marinas (IIM)</t>
  </si>
  <si>
    <t>Wollesen, T (corresponding author), Univ Vienna, Dept Evolutionary Biol, Fac Life Sci, Djerassipl 1, A-1030 Vienna, Austria.</t>
  </si>
  <si>
    <t>tim.wollesen@univie.ac.at</t>
  </si>
  <si>
    <t>COST [ACTION FA1301]; Austrian Science Fund (FWF) [P34665]; Austrian Science Fund (FWF) [P34665] Funding Source: Austrian Science Fund (FWF)</t>
  </si>
  <si>
    <t>COST(European Cooperation in Science and Technology (COST)); Austrian Science Fund (FWF)(Austrian Science Fund (FWF)); Austrian Science Fund (FWF)(Austrian Science Fund (FWF))</t>
  </si>
  <si>
    <t>COST (ACTION FA1301) is acknowledged for funding parts of the project Expression of Hox genes in Octopus vulgaris in 2014 in line with the initiative A network for improvement of cephalopod welfare and husbandry in research, aquaculture and fisheries (CephsInAction). This research was funded in whole, or in part, by the Austrian Science Fund (FWF) [P34665]. For the purpose of open access, the author has applied a CC BY public copyright licence to any Author Accepted Manuscript version arising from this submission. The authors thank the Faculty of Life Sciences and Andreas Wanninger (Vienna) for financial support. Andrew Calcino (Cairns) is thanked for storing transcriptomic data. The authors thank both reviewers for constructive criticism on an earlier version of this manuscript and Drs. Joao Leite and Wang for the invitation to publish our study in this special issue on Homeobox genes.</t>
  </si>
  <si>
    <t>SEP 19</t>
  </si>
  <si>
    <t>10.1038/s41598-023-42435-0</t>
  </si>
  <si>
    <t>WOS:001089134700027</t>
  </si>
  <si>
    <t>Kang, SI; Kim, JS; Park, SY; Lee, SM; Jang, MS; Oh, JY; Choi, JS</t>
  </si>
  <si>
    <t>Kang, Sang-In; Kim, Jin-Soo; Park, Sun-Young; Lee, Seok-Min; Jang, Mi-Soon; Oh, Jae-Young; Choi, Jae-Suk</t>
  </si>
  <si>
    <t>Development and Quality Characteristics of Elderly-Friendly Pulpo a La Gallega Prepared Using Texture-Modified Octopus (Octopus vulgaris) Arms</t>
  </si>
  <si>
    <t>pulpo a La Gallega; elderly-friendly food; texture-modified technology; Octopus vulgaris; HMR (home meal replacement)</t>
  </si>
  <si>
    <t>EXTRACTION; OPTIMIZATION; FOOD; DIGESTIBILITY; TECHNOLOGIES; CULTIVARS; STORAGE; SHRIMP; MUSCLE; BLACK</t>
  </si>
  <si>
    <t>Considering the need for developing new senior-friendly processed seafood, this study aimed to develop octopus pulpo with high preference and excellent quality characteristics for elderly individuals by optimizing the vinegar immersion and sous vide softening treatment conditions for octopus (Octopus vulgaris) arms. The optimal sous vide heating temperature (70.0-100.0 degree celsius), time (69.5-170.5 min), and vinegar concentration (0.2-0.8%) were established using response surface methodology (RSM). The pulpo prototype was produced using an octopus arm softened under optimal conditions and seasoned with a potato and olive oil sauce. The physicochemical and nutritional properties of the prototype were evaluated, followed by sensory evaluation and safety assessments. The hardness of softened octopuses obtained by 0.48% vinegar immersion and sous vide treatment (84.3 degree celsius, 139.8 min), determined using RSM, was 394.5 x 1000 N/m(2), showing a reduction of 83.0%; this was confirmed by electron microscopic observation. The texture of the pulpo prototype with softened octopus arms showed the highest preference (8.4 points) and high physicochemical and nutritional properties. Overall, the octopus pulpo a La Gallega prototype produced using texture-modified octopus arms was suitable for consumption by elderly people with chewing disorders and could help improve their quality of life.</t>
  </si>
  <si>
    <t>[Kang, Sang-In] Silla Univ, Seafood Res Ctr, IACF, Adv Seafood Proc Complex 606, Busan 49277, South Korea; [Kim, Jin-Soo; Park, Sun-Young; Lee, Seok-Min; Choi, Jae-Suk] Gyeongsang Natl Univ, Inst Marine Ind, Dept Seafood Sci &amp; Technol, 2-9 Tongyeonghaean Ro, Tongyeong Si 53064, Gyeongsangnam D, South Korea; [Jang, Mi-Soon; Oh, Jae-Young] Natl Inst Fisheries Sci, Food Safety &amp; Proc Res Div, 216 Gijanghaean Ro, Busan 46083, South Korea</t>
  </si>
  <si>
    <t>Silla University; Gyeongsang National University; National Institute of Fisheries Science</t>
  </si>
  <si>
    <t>Choi, JS (corresponding author), Gyeongsang Natl Univ, Inst Marine Ind, Dept Seafood Sci &amp; Technol, 2-9 Tongyeonghaean Ro, Tongyeong Si 53064, Gyeongsangnam D, South Korea.</t>
  </si>
  <si>
    <t>ftrnd5@silla.ac.kr; jinsukim@gnu.ac.kr; tjsdud3591@gnu.ac.kr; tjrals03001@gnu.ac.kr; suni1@korea.kr; ojy0724@korea.kr; jsc1008@gnu.ac.kr</t>
  </si>
  <si>
    <t>National Institute of Fisheries Science [2023029]</t>
  </si>
  <si>
    <t>National Institute of Fisheries Science</t>
  </si>
  <si>
    <t>This study was supported by a grant from the National Institute of Fisheries Science (2023029).</t>
  </si>
  <si>
    <t>10.3390/foods12183343</t>
  </si>
  <si>
    <t>WOS:001093128800001</t>
  </si>
  <si>
    <t>Pérez, T; Romero-Bascones, A; Pirhadi, N; Coya, R; Fernández-Rueda, MD; Márquez, I; García-Flórez, L; Borrell, YJ</t>
  </si>
  <si>
    <t>Perez, Trinidad; Romero-Bascones, Andrea; Pirhadi, Negin; Coya, Ruth; Fernandez-Rueda, Maria del Pino; Marquez, Isabel; Garcia-Florez, Lucia; Borrell, Yaisel J.</t>
  </si>
  <si>
    <t>Insights on the Evolutionary History and Genetic Patterns of Octopus vulgaris Cuvier, 1797 in the Northeastern Atlantic Using Mitochondrial DNA</t>
  </si>
  <si>
    <t>Octopus vulgaris; mitochondrial DNA; cox1; control region; D-loop; phylogeography; glacial refugia</t>
  </si>
  <si>
    <t>COMMON OCTOPUS; MEDITERRANEAN SEA; CANARY-ISLANDS; CEPHALOPODA; OCTOPODIDAE; POPULATION; TEMPERATURE; VARIABILITY; FISHERIES; MARKERS</t>
  </si>
  <si>
    <t>The artisanal octopus fishery is a great tradition and has a large economic impact in Northern Spain. Despite its importance, there is scarce genetic information for this exploited population. The uniqueness of an exploited population and the effects that exploitation may have on its long-term survival is essential information that can be obtained by studying the past and current spatial and temporal genetic patterns. The mitochondrial DNA is used here as a genetic tool to gain insight into Northeast Atlantic octopus populations and their evolutionary history. Although it is not sensitive enough to detect differences in nearby populations, it allows us to differentiate the two main lineages that originated during the Quaternary glaciations. One of the lineages is present exclusively in northern latitudes and the other mainly in the south, although, for the first time, its presence is demonstrated also in the north of the Iberian Peninsula. This implies a more continuous distribution than previously thought for this lineage. We also detect temporal changes in the distribution of the two lineages in contact zones. These changes seem to be associated with the effect of changing oceanographic conditions. Future studies on these associations could be of interest for fisheries in the scenario of global climate change. Octopus vulgaris is one of the most harvested octopus species in the world. In the Iberian Peninsula, there are several small-scale fisheries that have a long-term tradition of harvesting octopus. The Asturias fleet (in Northern Spain) has an internationally recognized MSC label for its exploitation. Of concern, genetic assessments of exploited stocks are currently scarce, which could prevent the implementation of adequate managing strategies. We use two mitochondrial regions (cytochrome oxidase subunit 1 and control region) to analyze the genetic status and evolutionary events that conditioned octopus populations' characteristics in the Northeastern Atlantic. A total of 90 individuals were sampled from three different localities in the Iberian Peninsula as well as a location in Macaronesia. Temporal genetic analyses on Asturias and Algarve populations were also performed. Results indicated the absence of fine spatial genetic structuring but showed the Canary Islands (in Macaronesia) as the most distinct population. Our analyses detected two distinct clades, already described in the literature, but, for the first time, we confirmed the presence of the ff-southern haplogroup in the Northern Iberian Peninsula. This result indicates a more continuous cline for the distribution of these two haplogroups than previously reported. Temporal changes in the distribution of both haplogroups in contact zones were also detected.</t>
  </si>
  <si>
    <t>[Perez, Trinidad; Romero-Bascones, Andrea; Pirhadi, Negin; Coya, Ruth; Borrell, Yaisel J.] Univ Oviedo, Dept Funct Biol, Genet, Oviedo 33006, Spain; [Fernandez-Rueda, Maria del Pino; Garcia-Florez, Lucia] Reg Minist Rural Dev &amp; Nat Resources Principal Ast, CEP Fisheries Experimentat Ctr, Directorate Gen Maritime Fisheries DGPM, Gijon 33212, Spain; [Marquez, Isabel] SERIDA, Anim Hlth Area, Gijon 33394, Spain</t>
  </si>
  <si>
    <t>University of Oviedo; Servicio Regional de Investigacion y Desarrollo Agroalimentario</t>
  </si>
  <si>
    <t>Pérez, T (corresponding author), Univ Oviedo, Dept Funct Biol, Genet, Oviedo 33006, Spain.</t>
  </si>
  <si>
    <t>pereztrinidad@uniovi.es; andrearomero095@gmail.com; neginprhd@gmail.com; coyaruth@uniovi.es; mariadelpino.fernandezrueda@asturias.org; imarquez@serida.org; lucia.garciaflorez@asturias.org; borrellyaisel@uniovi.es</t>
  </si>
  <si>
    <t>projects ECOSIFOOD [MCI-20-PID2019-108481RB-I00/AEI/10.13039/501100011033, GRUPIN-AYUD/2021/50967]; FPU program of the Spanish Ministry of Science, Innovation and Universities [MU-21-FPU20/06628]</t>
  </si>
  <si>
    <t>projects ECOSIFOOD; FPU program of the Spanish Ministry of Science, Innovation and Universities(Spanish Government)</t>
  </si>
  <si>
    <t>&amp; nbsp;This research was funded by the projects ECOSIFOOD (MCI-20-PID2019-108481RB-I00/AEI/10.13039/501100011033) and GRUPIN-AYUD/2021/50967. Andrea Romero-Bascones was funded by the FPU program of the Spanish Ministry of Science, Innovation and Universities (MU-21-FPU20/06628). This work was partially developed in a Master's thesis presented by Romero-Bascones A. This is a contribution of the Marine Observatory of Asturias (OMA) and the Biotechnology Institute of Asturias (IUBA).</t>
  </si>
  <si>
    <t>10.3390/ani13172708</t>
  </si>
  <si>
    <t>WOS:001064051900001</t>
  </si>
  <si>
    <t>Dan, S; Yamaji, M; Kamei, Y; Sakiyama, K; Hamasaki, K</t>
  </si>
  <si>
    <t>Dan, Shigeki; Yamaji, Miona; Kamei, Yoshinori; Sakiyama, Kazuaki; Hamasaki, Katsuyuki</t>
  </si>
  <si>
    <t>Antipredator strategy of paralarvae of East Asian common octopus Octopus sinensis d'Orbigny, 1841: causing rejection after engulfing by a fish, and subsequent ink release for distraction during escape</t>
  </si>
  <si>
    <t>Antipredator strategy; Cephalopod; Chemical defence; Meroplankton; Ink; Octopus</t>
  </si>
  <si>
    <t>PATTERNS; MOLLUSCA</t>
  </si>
  <si>
    <t>Antipredator behavior of the paralarval stages of merobenthic octopuses is largely unknown. Reported here is an investigation of the behavioral response of Octopus sinensis paralarvae to the sympatric predator fish Girella punctata. Fishes of this species exhibited predatory behavior by engulfing individual paralarvae, but most fishes almost immediately rejected the paralarva from the mouth. No paralarvae died after being engulfed and ejected. The number of such temporary engulfings of a paralarva by a fish during the test period (10 min) decreased with the increase in the number of times a paralarva was engulfed. The frequency of engulfing attacks by the fish also declined. The paralarvae did not eject ink before being engulfed, but 43% of the paralarvae exhibited inking immediately after ejection from the fish's mouth. The fishes ingested the ink masses released by the paralarvae, and the proportion of fish ingesting the ink masses increased with increasing experience of encountering the ink. When the paralarvae ejected ink, the time interval between first engulfing and subsequent engulfing increased, apparently in relation to distraction of the fish by the ink. These results suggest that paralarvae have an antipredatory mechanism which causes predatory fish to eject them after they have been engulfed. In addition, the paralarvae use the stimulus of being ejected from the mouth of a fish as a cue for ink ejection. The ink mass may be attractive to the fish as a food item because of its potential action as a phagomimetic distraction, enabling the paralarvae to escape.</t>
  </si>
  <si>
    <t>[Dan, Shigeki; Yamaji, Miona; Hamasaki, Katsuyuki] Tokyo Univ Marine Sci &amp; Technol, Dept Marine Biosci, Minato, Tokyo 1088477, Japan; [Kamei, Yoshinori] Okayama Prefectural Technol Ctr Agr Forestry &amp; Fi, Res Inst Fisheries Sci, Setouchi, Okayama 7014303, Japan; [Sakiyama, Kazuaki] Oita Prefectural Agr Forestry &amp; Fisheries Res Ctr, Fisheries Res Div, Bungo Takada, Oita 8790608, Japan</t>
  </si>
  <si>
    <t>Tokyo University of Marine Science &amp; Technology</t>
  </si>
  <si>
    <t>Dan, S (corresponding author), Tokyo Univ Marine Sci &amp; Technol, Dept Marine Biosci, Minato, Tokyo 1088477, Japan.</t>
  </si>
  <si>
    <t>sdan@kaiyodai.ac.jp</t>
  </si>
  <si>
    <t>10.1007/s00227-023-04250-z</t>
  </si>
  <si>
    <t>WOS:001032999900002</t>
  </si>
  <si>
    <t>AUG 2023</t>
  </si>
  <si>
    <t>Duysak, Ö; Kilic, E; Ugurlu, E; Dogan, S</t>
  </si>
  <si>
    <t>Duysak, Onder; Kilic, Ece; Ugurlu, Erkan; Dogan, Serdar</t>
  </si>
  <si>
    <t>Metal toxicity risk of commercial cephalopod species and public health concerns</t>
  </si>
  <si>
    <t>REGIONAL STUDIES IN MARINE SCIENCE</t>
  </si>
  <si>
    <t>Ecotoxicology; O. vulgaris; I. coindetii; E.moschata; Health Risk Assessment; Marmara Sea; Aegean Sea; Mediterranean Sea</t>
  </si>
  <si>
    <t>OCTOPUS OCTOPUS-VULGARIS; HEAVY-METALS; AQUATIC ENVIRONMENT; FISH; ACCUMULATION; CADMIUM; MERCURY; TISSUES; SEA; ZN</t>
  </si>
  <si>
    <t>Metals in the marine environment threaten aquatic animals and their upper trophic level predators, as they not only jeopardize their well-being but accumulate in their tissues, posing potential health risks. The present study focused on sampling Eledone moschata, Octopus vulgaris, and Illex coindetii from the Marmara, Aegean, and Mediterranean Seas. The study aimed to assess the accumulation levels of aluminum (Al), chromium (Cr), cobalt (Co), nickel (Ni), cadmium (Cd), lead (Pb), manganese (Mn), iron (Fe), copper (Cu), and zinc (Zn) in the mantle, gill, and hepatopancreas tissues. Significant variations in metal accumulation levels were observed depending on the sampled station and tissues. Iron, copper, and zinc exhibited the highest concentrations in the tissues, whereas nickel and cadmium showed the lowest concentrations. The mantle exhibited the lowest metal concentration, whereas the hepatopancreas showed the highest concentration among the studied tissues. Furthermore, a health risk analysis was conducted using the Target Hazard Quotient (THQ) and lifetime cancer risk (CR) assessments. The analysis results indicated no significant health risk associated with the consumption of the studied species from the Marmara Sea, Aegean Sea, and the Mediterranean Sea.&amp; COPY; 2023 Elsevier B.V. All rights reserved.</t>
  </si>
  <si>
    <t>[Duysak, Onder; Kilic, Ece; Ugurlu, Erkan] Iskenderun Tech Univ, Fac Marine Sci &amp; Technol, Iskenderun, Hatay, Turkiye; [Dogan, Serdar] Hatay Mustafa Kemal Univ, Dept Med Biochem, Hatay, Turkiye</t>
  </si>
  <si>
    <t>Iskenderun Technical University; Hatay Mustafa Kemal University</t>
  </si>
  <si>
    <t>Duysak, Ö (corresponding author), Iskenderun Tech Univ, Fac Marine Sci &amp; Technol, Iskenderun, Hatay, Turkiye.</t>
  </si>
  <si>
    <t>onder.duysak@iste.edu.tr</t>
  </si>
  <si>
    <t>DEC 15</t>
  </si>
  <si>
    <t>10.1016/j.rsma.2023.103141</t>
  </si>
  <si>
    <t>WOS:001069451400001</t>
  </si>
  <si>
    <t>Rich, AF; Denk, D; Sangster, CR; Stidworthy, MF</t>
  </si>
  <si>
    <t>Rich, Andrew F.; Denk, Daniela; Sangster, Cheryl R.; Stidworthy, Mark F.</t>
  </si>
  <si>
    <t>A retrospective study of pathologic findings in cephalopods (extant subclasses: Coleoidea and Nautiloidea) under laboratory and aquarium management</t>
  </si>
  <si>
    <t>VETERINARY PATHOLOGY</t>
  </si>
  <si>
    <t>cephalopod; cuttlefish; nautilus; octopus; pathology; squid</t>
  </si>
  <si>
    <t>AGGREGATA-OCTOPIANA PROTISTA; FRESH-WATER; PHILASTERIDES-DICENTRARCHI; SEPIA-OFFICINALIS; SP APICOMPLEXA; 1ST REPORT; INFECTION; PATHOGEN; HOST; MORTALITY</t>
  </si>
  <si>
    <t>This retrospective study examines pathologic findings in 593 captive cephalopods (340 octopuses, 130 cuttlefish, 33 squid, and 90 nautiluses; 22 species in total) submitted to International Zoo Veterinary Group Pathology between May 2003 and August 2022. Common octopus, European common cuttlefish, hummingbird bobtail squid, and chambered nautilus were the most numerous species from the included orders of Octopoda, Sepiida, Sepiolida, and Nautilida, respectively. Commonly identified conditions included coccidiosis and renal dicyemid mesozoan infection in octopuses, amebiasis in squid, bacterial infections in cuttlefish, and idiopathic multisystemic inflammatory disease in nautiluses. Coccidiosis was most frequent in common octopuses, giant Pacific octopuses, and California 2-spot octopuses (present in 68.4%, 46.3%, and 23.8% of these species, respectively) and was the attributed cause of death in 32.3%, 36.0%, and 60.0% of such cases, respectively. Ulcerative dermatitis (UD) was common, affecting squid, cuttlefish, and octopuses, while many nautiluses exhibited black shell disease and/or UD. Notable differences in the prevalence of UD were detected between laboratory and aquaria-housed decapodiforms; 52.2% for laboratory squid versus 20.0% in aquaria; 51.3% in laboratory cuttlefish versus 11.0% in aquaria. All octopuses and nautiluses in the study were derived from aquaria. Semelparity-associated death in Coleoidea species was identified in 22.4% of octopuses, 11.5% of cuttlefish, and 6.1% of squid. This report aims to provide an overview and reassessment of species-specific disease patterns under aquarium and laboratory management as a starting point for future developments in husbandry and disease investigation.</t>
  </si>
  <si>
    <t>[Rich, Andrew F.; Sangster, Cheryl R.; Stidworthy, Mark F.] Int Zoo Vet Grp, Keighley, England; [Denk, Daniela] Seaworld Abu Dhabi, Abu Dhabi, U Arab Emirates; [Rich, Andrew F.] Int Zoo Vet Grp, Stn House, Keighley BD21 4NQ, England</t>
  </si>
  <si>
    <t>Rich, AF (corresponding author), Int Zoo Vet Grp, Stn House, Keighley BD21 4NQ, England.</t>
  </si>
  <si>
    <t>a.rich@izvg.co.uk</t>
  </si>
  <si>
    <t>10.1177/03009858231186306</t>
  </si>
  <si>
    <t>JUL 2023</t>
  </si>
  <si>
    <t>Pathology; Veterinary Sciences</t>
  </si>
  <si>
    <t>WOS:001027896200001</t>
  </si>
  <si>
    <t>Ahmad, NN; Ghazali, NNN; Rani, ATA; Kee, CC; Wong, YH</t>
  </si>
  <si>
    <t>Ahmad, NurFarrahain Nadia; Ghazali, Nik Nazri Nik; Rani, Ahmad Taufiq Abdul; Kee, Chia Ching; Wong, Yew Hoong</t>
  </si>
  <si>
    <t>Bioinspired adhesive patch with octopus vulgaris micro-sucker and hexagonal tree-frog pad structures</t>
  </si>
  <si>
    <t>MATERIALS SCIENCE IN SEMICONDUCTOR PROCESSING</t>
  </si>
  <si>
    <t>Bioinspired adhesive; Adhesion; Skin patch; Tree frog; Micro-sucker octopus</t>
  </si>
  <si>
    <t>WET ADHESION; UNDERWATER ADHESION; OPTIMAL-DESIGN; DRY ADHESIVES; SUCTION CUPS; SKIN; SURFACE; MICRONEEDLE; FABRICATION; WATER</t>
  </si>
  <si>
    <t>Our artificial bioinspired adhesive patch is inspired by two different biological creatures in one design, which consists of a densely packed hexagonal tree-frog pad embedded with vulgaris octopuses' microscopic suckers. This work focuses on the creation of a new microscopic sucker design that takes inspiration from the structure of real octopus' suckers to improve adhesion and overcome potential issues related to the existing micro-sucker design. Theoretical analysis, simulations, and experimental studies demonstrated that this new-designed microscopic sucker exhibits robust adhesion under various conditions (dry, moist, underwater, and under oil). Several factors that influence adhesion performance, including compressive preloading force, time of attachment, number of contact cycles, and surface roughness, are investigated. It showed stronger adhesion than previous sucker designs and proved its ability to remain attached for up to 24 h, withstand a large number of contact cycles, and adhere to high- and low-roughness surfaces. It reached 57.3-116.4 kPa of normal adhesion strength and 29.8-93.47 kPa of shear adhesion strength. Based on these results, our adhesive patch design could pave the way for future skin-conforming patches in medical devices.</t>
  </si>
  <si>
    <t>[Ahmad, NurFarrahain Nadia; Ghazali, Nik Nazri Nik; Wong, Yew Hoong] Univ Malaya, Fac Engn, Dept Mech Engn, Kuala Lumpur 50603, Malaysia; [Ahmad, NurFarrahain Nadia] Univ Teknol Malaysia, Fac Engn, Sch Mech Engn, Johor Baharu 81310, Johor, Malaysia; [Rani, Ahmad Taufiq Abdul] Taman Univ, German Malaysian Inst, Fac Engn, Ind &amp; Mech Design, Jalan Ilmiah, Kajang 43000, Selangor, Malaysia; [Kee, Chia Ching] SEGi Univ, Fac Engn Built Environm &amp; Informat Technol, Ctr Adv Mat &amp; Intelligent Mfg, Petaling Jaya 47810, Selangor, Malaysia</t>
  </si>
  <si>
    <t>Universiti Malaya; Universiti Teknologi Malaysia; SEGi University</t>
  </si>
  <si>
    <t>Wong, YH (corresponding author), Univ Malaya, Fac Engn, Dept Mech Engn, Kuala Lumpur 50603, Malaysia.</t>
  </si>
  <si>
    <t>yhwong@um.edu.my</t>
  </si>
  <si>
    <t>SATU Joint Research Program from Universiti Malaya (UM) [ST009-2022]; Fundamental Research Grant Scheme (FRGS) from Ministry of Higher Education (MOHE) Malaysia [FRGS/1/2020/STG05/UM/02/8]; Skim Latihan Akademik Muda' (SLAM) from Universiti Teknologi Malaysia (UTM)</t>
  </si>
  <si>
    <t>SATU Joint Research Program from Universiti Malaya (UM); Fundamental Research Grant Scheme (FRGS) from Ministry of Higher Education (MOHE) Malaysia; Skim Latihan Akademik Muda' (SLAM) from Universiti Teknologi Malaysia (UTM)</t>
  </si>
  <si>
    <t>This work was financially supported by Skim Latihan Akademik Muda' (SLAM) from Universiti Teknologi Malaysia (UTM) , SATU Joint Research Program (Grant No.: ST009-2022) from Universiti Malaya (UM) , and Fundamental Research Grant Scheme (FRGS) (Grant No.: FRGS/1/2020/STG05/UM/02/8) from Ministry of Higher Education (MOHE) Malaysia. The patch was fabricated using a Stereolithography (SLA) 3D printing machine and tested in German-Malaysian Institute.</t>
  </si>
  <si>
    <t>NOV 1</t>
  </si>
  <si>
    <t>10.1016/j.mssp.2023.107731</t>
  </si>
  <si>
    <t>Engineering, Electrical &amp; Electronic; Materials Science, Multidisciplinary; Physics, Applied; Physics, Condensed Matter</t>
  </si>
  <si>
    <t>Engineering; Materials Science; Physics</t>
  </si>
  <si>
    <t>WOS:001046870800001</t>
  </si>
  <si>
    <t>Bidel, F; Meirovitch, Y; Schalek, RL; Lu, XT; Pavarino, EC; Yang, FM; Peleg, A; Wu, YL; Shomrat, T; Berger, DR; Shaked, A; Lichtman, JW; Hochner, B</t>
  </si>
  <si>
    <t>Bidel, Flavie; Meirovitch, Yaron; Schalek, Richard Lee; Lu, Xiaotang; Pavarino, Elisa Catherine; Yang, Fuming; Peleg, Adi; Wu, Yuelong; Shomrat, Tal; Berger, Daniel Raimund; Shaked, Adi; Lichtman, Jeff William; Hochner, Binyamin</t>
  </si>
  <si>
    <t>Connectomics of the Octopus vulgaris vertical lobe provides insight into conserved and novel principles of a memory acquisition network</t>
  </si>
  <si>
    <t>ELIFE</t>
  </si>
  <si>
    <t>caphalopods; learning; memory; connectome; invertebrate; octopus; feedforward</t>
  </si>
  <si>
    <t>LONG-TERM POTENTIATION; SYNAPTIC ORGANIZATION; NERVOUS-SYSTEM; FINE-STRUCTURE; TRANSMISSION; PLASTICITY; VOLUME; BRAIN; CONNECTIVITY; INHIBITION</t>
  </si>
  <si>
    <t>Here, we present the first analysis of the connectome of a small volume of the Octopus vulgaris vertical lobe (VL), a brain structure mediating the acquisition of long-term memory in this behaviorally advanced mollusk. Serial section electron microscopy revealed new types of interneurons, cellular components of extensive modulatory systems, and multiple synaptic motifs. The sensory input to the VL is conveyed via similar to 1.8 x 10(6) axons that sparsely innervate two parallel and interconnected feedforward networks formed by the two types of amacrine interneurons (AM), simple AMs (SAMs) and complex AMs (CAMs). SAMs make up 89.3% of the similar to 25 x 10(6)VL cells, each receiving a synaptic input from only a single input neuron on its non-bifurcating primary neurite, suggesting that each input neuron is represented in only similar to 12 +/- 3.4SAMs. This synaptic site is likely a 'memory site' as it is endowed with LTP. The CAMs, a newly described AM type, comprise 1.6% of the VL cells. Their bifurcating neurites integrate multiple inputs from the input axons and SAMs. While the SAM network appears to feedforward sparse 'memorizable' sensory representations to the VL output layer, the CAMs appear to monitor global activity and feedforward a balancing inhibition for 'sharpening' the stimulus-specific VL output. While sharing morphological and wiring features with circuits supporting associative learning in other animals, the VL has evolved a unique circuit that enables associative learning based on feedforward information flow.</t>
  </si>
  <si>
    <t>[Bidel, Flavie; Shaked, Adi; Hochner, Binyamin] Hebrew Univ Jerusalem, Silberman Inst Life Sci, Dept Neurobiol, Jerusalem, Israel; [Meirovitch, Yaron; Schalek, Richard Lee; Lu, Xiaotang; Pavarino, Elisa Catherine; Yang, Fuming; Peleg, Adi; Wu, Yuelong; Berger, Daniel Raimund; Lichtman, Jeff William] Harvard Univ, Dept Mol &amp; Cellular Biol, Cambridge, MA 02138 USA; [Shomrat, Tal] Ruppin Acad Ctr, Fac Marine Sci, Michmoret, Israel</t>
  </si>
  <si>
    <t>Hebrew University of Jerusalem; Harvard University; Ruppin Academic Center</t>
  </si>
  <si>
    <t>Bidel, F; Hochner, B (corresponding author), Hebrew Univ Jerusalem, Silberman Inst Life Sci, Dept Neurobiol, Jerusalem, Israel.;Meirovitch, Y (corresponding author), Harvard Univ, Dept Mol &amp; Cellular Biol, Cambridge, MA 02138 USA.</t>
  </si>
  <si>
    <t>bidel.flavie@gmail.com; yaron.mr@gmail.com; benny.hochner@mail.huji.ac.il</t>
  </si>
  <si>
    <t>Human Frontier Science Program [RGP0042/2019-102]; Israel Science Foundation [1928/15]; National Institutes of Health [U01 NS108637, 5U24 NS109102]; Aharon and Ephraim Katzir Study Grants; National Institute of Neurological Disorders and Stroke [U24NS109102] Funding Source: NIH RePORTER</t>
  </si>
  <si>
    <t>Human Frontier Science Program(Human Frontier Science Program); Israel Science Foundation(Israel Science Foundation); National Institutes of Health(United States Department of Health &amp; Human ServicesNational Institutes of Health (NIH) - USA); Aharon and Ephraim Katzir Study Grants; National Institute of Neurological Disorders and Stroke(United States Department of Health &amp; Human ServicesNational Institutes of Health (NIH) - USANIH National Institute of Neurological Disorders &amp; Stroke (NINDS))</t>
  </si>
  <si>
    <t>Human Frontier Science Program RGP0042/2019-102 Binyamin HochnerIsrael Science Foundation 1928/15 Binyamin HochnerNational Institutes of Health 5U24 NS109102 Jeff William LichtmanNational Institutes of Health U01 NS108637 Jeff William LichtmanAharon and Ephraim Katzir Study Grants Flavie BidelThe funders had no role in study design, data collection and interpretation, or the decision to submit the work for publication.</t>
  </si>
  <si>
    <t>e84257</t>
  </si>
  <si>
    <t>10.7554/eLife.84257</t>
  </si>
  <si>
    <t>WOS:001071881400001</t>
  </si>
  <si>
    <t>FRONTIERS IN PHYSIOLOGY</t>
  </si>
  <si>
    <t>Physiology</t>
  </si>
  <si>
    <t>Casalini, A; Gentile, L; Emmanuele, P; Brusa, R; Elmi, A; Parmeggiani, A; Galosi, L; Roncarati, A; Mordenti, O</t>
  </si>
  <si>
    <t>Casalini, Antonio; Gentile, Laura; Emmanuele, Pietro; Brusa, Riccardo; Elmi, Alberto; Parmeggiani, Albamaria; Galosi, Livio; Roncarati, Alessandra; Mordenti, Oliviero</t>
  </si>
  <si>
    <t>Effects of Environmental Enrichment on the Behavior of Octopus vulgaris in a Recirculating Aquaculture System</t>
  </si>
  <si>
    <t>common octopus; rearing environment; body pattern; animal welfare; cephalopods</t>
  </si>
  <si>
    <t>AGGRESSIVE-BEHAVIOR; GROWTH-PERFORMANCE; STRESS-RESPONSE; COLOR; CUTTLEFISH; SUBSTRATE; MOLLUSCA; WELFARE; CEPHALOPODA; ONTOGENY</t>
  </si>
  <si>
    <t>Simple Summary: Octopuses, like other cephalopods, have specific behaviors that correspond to a sequence of body patterns. Each pattern is the result of various components that, when performed simultaneously, have different outcomes. The vast repertoire in pattern production is associated with the complexity and variety of environmental enrichment. The greater the complexity of the environment, the greater the possibility of observing a wide variety of patterns. In this study, we evaluated how different environmental conditions affect subjects of Octopus vulgaris maintained in an aquaculture system through the observation of major body patterns. The results showed that octopuses kept in an enriched environment showed significantly more body patterns and gained significantly more weight than the subjects kept in a basic environment. The body patterns manifested by the octopuses maintained in a basic environment were similar to those exhibited under situations of hostility and inter/intra-specific conflict. They did not interact much with the surrounding habitat, the conspecifics, or the operator. Therefore, environmental enrichment is recommended for the individuals of this species that are kept in a recirculating aquaculture system (RAS).Octopus vulgaris is a commercially valuable species. It is overexploited in the natural environment and is considered to be an innovative species for aquaculture. However, large-scale farming is generally designed only based on economic requirements, disregarding any form of enrichment that induces the natural behavior of aquatic species. Although many studies have shown the influence of environmental enrichment on terrestrial vertebrates, fish, and cephalopod mollusks, information on the effect of environmental enrichment on the body patterns of O. vulgaris is limited. Therefore, in this study, we assessed how different environmental conditions (Basic vs. Enriched) affect sub-adults of O. vulgaris kept in recirculation systems, through qualitative-quantitative studies of the main body patterns and their potential application in the commercial production of this species. The results indicated that octopuses kept in the enriched environment showed several body patterns and gained a significantly higher weight than those kept in the basic environment. The body patterns displayed by the individuals kept in the basic environment were similar to those exhibited under situations of hostility and inter/intra-specific conflict. Hence, the environment of octopuses needs to be enriched, especially for the large-scale production of this species.</t>
  </si>
  <si>
    <t>[Casalini, Antonio; Gentile, Laura; Emmanuele, Pietro; Brusa, Riccardo; Elmi, Alberto; Parmeggiani, Albamaria; Mordenti, Oliviero] Univ Bologna, Dept Vet Med Sci DIMEVET, Via Tolara di Sopra 50, I-40064 Bologna, Italy; [Galosi, Livio; Roncarati, Alessandra] Univ Camerino, Sch Biosci &amp; Vet Med, Via Circonvallaz 93-95, I-62024 Matelica, Italy</t>
  </si>
  <si>
    <t>University of Bologna; University of Camerino</t>
  </si>
  <si>
    <t>Gentile, L (corresponding author), Univ Bologna, Dept Vet Med Sci DIMEVET, Via Tolara di Sopra 50, I-40064 Bologna, Italy.</t>
  </si>
  <si>
    <t>antonio.casalini6@unibo.it; laura.gentile4@unibo.it; pietro.emmanuele@unibo.it; riccardo.brusa@studio.unibo.it; alberto.elmi2@unibo.it; albamari.parmeggiani@unibo.it; livio.galosi@unicam.it; alessandra.roncarati@unicam.it; oliviero.mordenti@unibo.it</t>
  </si>
  <si>
    <t>RFO; [J54I20000110005]</t>
  </si>
  <si>
    <t>RFO;</t>
  </si>
  <si>
    <t>This study was supported by RFO 2020, J54I20000110005-Mordenti Oliviero.</t>
  </si>
  <si>
    <t>10.3390/ani13111862</t>
  </si>
  <si>
    <t>WOS:001005499200001</t>
  </si>
  <si>
    <t>Andriolo, U; Goncalves, G</t>
  </si>
  <si>
    <t>Andriolo, Umberto; Goncalves, Gil</t>
  </si>
  <si>
    <t>The octopus pot on the North Atlantic Iberian coast: A plague of plastic on beaches and dunes</t>
  </si>
  <si>
    <t>Marine litter; Coastal pollution; Fishing activities; Beach litter management</t>
  </si>
  <si>
    <t>LITTER; ALGARVE; FISHERY</t>
  </si>
  <si>
    <t>This baseline focuses on the octopus pot, a litter item found on the North Atlantic Iberian coast. Octopus pots are deployed from vessels in ropes, with several hundred units, and placed on the seabed, to capture mostly Octopus Vulgaris. The loss of gears due to extreme seas state, bad weather and/or fishing-related unforeseen circum-stances, cause the octopus pots contaminating beaches and dunes, where they are transported by sea current, waves and wind actions.This work i) gives an overview of the use of octopus pot on fisheries, ii) analyses the spatial distribution of this item on the coast, and iii) discusses the potential measures for tackling the octopus pot plague on the North Atlantic Iberian coast.Overall, it is urgent to promote conducive policies and strategies for a sustainable waste management of octopus pots, based on Reduce, Reuse and Recycle hierarchical framework.</t>
  </si>
  <si>
    <t>[Andriolo, Umberto; Goncalves, Gil] INESC Coimbra, Dept Elect &amp; Comp Engn, Polo 2, P-3030290 Coimbra, Portugal; [Goncalves, Gil] Univ Coimbra, Dept Math, Coimbra, Portugal</t>
  </si>
  <si>
    <t>INESC Coimbra; Universidade de Coimbra; Universidade de Coimbra</t>
  </si>
  <si>
    <t>Andriolo, U (corresponding author), INESC Coimbra, Dept Elect &amp; Comp Engn, Polo 2, P-3030290 Coimbra, Portugal.</t>
  </si>
  <si>
    <t>uandriolo@mat.uc.pt; gil@mat.uc.pt</t>
  </si>
  <si>
    <t>Portuguese Foundation for Science and Technology (FCT) [UIDB/00308/2020]</t>
  </si>
  <si>
    <t>Portuguese Foundation for Science and Technology (FCT)(Fundacao para a Ciencia e a Tecnologia (FCT))</t>
  </si>
  <si>
    <t>Acknowledgments This work was supported by the Portuguese Foundation for Science and Technology (FCT) in the framework of UIDB/00308/2020.</t>
  </si>
  <si>
    <t>10.1016/j.marpolbul.2023.115099</t>
  </si>
  <si>
    <t>MAY 2023</t>
  </si>
  <si>
    <t>WOS:001011642400001</t>
  </si>
  <si>
    <t>Roura, A; Doyle, SR; Castro-Bugallo, A; Hall, NE; Gonzalez, AF; Strugnell, JM</t>
  </si>
  <si>
    <t>Roura, Alvaro; Doyle, Stephen R.; Castro-Bugallo, Alexandra; Hall, Nathan E.; Gonzalez, Angel F.; Strugnell, Jan M.</t>
  </si>
  <si>
    <t>Trophic ecology of Octopus vulgaris paralarvae along the Iberian Canary current eastern boundary upwelling system</t>
  </si>
  <si>
    <t>OXIDASE SUBUNIT-I; CEPHALOPOD PARALARVAE; WESTERN IBERIA; SECONDARY PREDATION; VERTICAL MIGRATION; SQUID PARALARVAE; FILAMENT SYSTEM; GRAN-CANARIA; LARVAE; ZOOPLANKTON</t>
  </si>
  <si>
    <t>Our knowledge of the diet of wild octopus paralarvae, Octopus vulgaris, is restricted to the first 2 weeks of its planktonic phase when they are selective hunters found near the coastline. These small paralarvae, bearing only three suckers per arm, are transported by oceanic currents from the coast towards offshore waters, where they complete the planktonic phase over 2 months. Here, we have investigated the trophic ecology of O. vulgaris paralarvae in two contrasting upwelling sub-regions of the Iberian Canary current (ICC) eastern boundary upwelling system and have evaluated dietary change as paralarvae develop (inferred by counting the number of suckers per arm, ranging from three to 15) along the coastal-oceanic gradient during their planktonic phase. Using high-throughput amplicon sequencing, we have characterised the diet of 100 paralarvae collected along the Northwest Iberian Peninsula (n = 65, three to five suckers per arm) and off the west coast of Morocco (n = 35, three to 15 suckers per arm), identifying up to 87 different prey species. The diet of paralarvae varied along the ICC, with crabs (53.4%), siphonophores (12.2%), copepods (12.3%), cnidarians (8.4%) and pteropods (3.7%) accounting for 90% of the variability detected off NW Iberian Peninsula, whereas off W Morocco, crabs (46.2%), copepods (23.1%), cnidarians (12.9%), krill (9.3%) and fishes (4.2%) explained 95.6% of the variability observed using frequency of observance (FOO%) data. Ontogenetic changes in the diet based on groups of paralarvae with similar numbers per arm were evidenced by the decreasing contribution of coastal meroplankton and an increase in oceanic holoplankton, including siphonophores, copepods, pteropods and krill. Trophic niche breadth values ranged from 0.06 to 0.67, with averaged values ranging from 0.23 to 0.33 (generalist = 1 and specialist = 0), suggesting that O. vulgaris paralarvae are selective predators through their ontogenetic transition between coastal and oceanic environments.</t>
  </si>
  <si>
    <t>[Roura, Alvaro; Castro-Bugallo, Alexandra; Hall, Nathan E.; Strugnell, Jan M.] La Trobe Univ, Melbourne, Vic 3086, Australia; [Roura, Alvaro; Gonzalez, Angel F.] CSIC, Ecol &amp; Marine Resources, Inst Invest Marinas IIM, Eduardo Cabello 6, Vigo 36208, Spain; [Doyle, Stephen R.] Wellcome Sanger Inst, Hinxton CB10 1SA, Cambs, England; [Hall, Nathan E.] GMDx Grp Ltd, Melbourne, Vic, Australia; [Strugnell, Jan M.] James Cook Univ, Ctr Sustainable Trop Fisheries &amp; Aquaculture, Townsville, Qld 4810, Australia</t>
  </si>
  <si>
    <t>La Trobe University; Consejo Superior de Investigaciones Cientificas (CSIC); CSIC - Instituto de Investigaciones Marinas (IIM); Wellcome Trust Sanger Institute; James Cook University</t>
  </si>
  <si>
    <t>Roura, A (corresponding author), La Trobe Univ, Melbourne, Vic 3086, Australia.;Roura, A (corresponding author), CSIC, Ecol &amp; Marine Resources, Inst Invest Marinas IIM, Eduardo Cabello 6, Vigo 36208, Spain.</t>
  </si>
  <si>
    <t>chiquipulpi@gmail.com</t>
  </si>
  <si>
    <t>CAIBEX project [CTM2007-66408-C02]; ECOSUMA project [PID2019-110088RB-I00]; postdoctoral fellowship Fundacion Barrie [3003197/2013]; Securing Food, Water and the Environment Research Focus Area funds (La Trobe University, Melbourne); UKRI Future Leaders Fellowship [MR/T020733/1]; Wellcome Trust [108413/A/15/D]; UKRI FLF [MR/T020733/1] Funding Source: UKRI</t>
  </si>
  <si>
    <t>CAIBEX project; ECOSUMA project; postdoctoral fellowship Fundacion Barrie; Securing Food, Water and the Environment Research Focus Area funds (La Trobe University, Melbourne); UKRI Future Leaders Fellowship(UK Research &amp; Innovation (UKRI)); Wellcome Trust(Wellcome Trust); UKRI FLF(UK Research &amp; Innovation (UKRI))</t>
  </si>
  <si>
    <t>We thank the captain and crew of the R/V Sarmiento de Gamboa (IIM, CSIC). This study was supported by CAIBEX (CTM2007-66408-C02) and ECOSUMA projects (PID2019-110088RB-I00). AR was supported by a postdoctoral fellowship Fundacion Barrie (3003197/2013), and Securing Food, Water and the Environment Research Focus Area funds (La Trobe University, Melbourne). SRD is supported by a UKRI Future Leaders Fellowship [MR/T020733/1] and the Wellcome Trust [108413/A/15/D]. For the purpose of Open Access, the authors have applied a CC BY public copyright licence to any Author Accepted Manuscript version arising from this submission.</t>
  </si>
  <si>
    <t>MAY 30</t>
  </si>
  <si>
    <t>10.1038/s41598-023-35206-4</t>
  </si>
  <si>
    <t>WOS:001000101800044</t>
  </si>
  <si>
    <t>Hernández-Zazueta, MS; García-Romo, JS; Luzardo-Ocampo, I; Carbonell-Barrachina, AA; Taboada-Antelo, P; Rosas-Burgos, EC; Ezquerra-Brauer, JM; Martínez-Soto, JM; Candia-Plata, MD; Santacruz-Ortega, HD; Burgos-Hernández, A</t>
  </si>
  <si>
    <t>Hernandez-Zazueta, Martin Samuel; Garcia-Romo, Joel Said; Luzardo-Ocampo, Ivan; Carbonell-Barrachina, Angel Antonio; Taboada-Antelo, Pablo; Rosas-Burgos, Ema Carina; Ezquerra-Brauer, Josafat Marina; Martinez-Soto, Juan Manuel; Candia-Plata, Maria del Carmen; Santacruz-Ortega, Hisila del Carmen; Burgos-Hernandez, Armando</t>
  </si>
  <si>
    <t>N-(2-ozoazepan-3-yl)-pyrrolidine-2-carboxamide, a novel Octopus vulgaris ink-derived metabolite, exhibits a pro-apoptotic effect on A549 cancer cell line and inhibits pro-inflammatory markers</t>
  </si>
  <si>
    <t>FOOD AND CHEMICAL TOXICOLOGY</t>
  </si>
  <si>
    <t>Octopus vulgaris; Ozopromide (OPC); Anti-inflammatory; Cytokines; Pro-apoptotic</t>
  </si>
  <si>
    <t>PROTEIN; DOCKING; PATHWAY; AGENTS; ROLES</t>
  </si>
  <si>
    <t>This research aimed to chemically synthesize and evaluate the antiproliferative and anti-inflammatory potential of ozopromide (OPC), a novel compound recently isolated from O. vulgaris ink. After chemical synthesis, OPC structural characterization was confirmed by COSY2D, FTIR, and C-/H-NMR. OPC inhibited the growth of human breast (MDA-MB-231), prostate (22Rv1), cervix (HeLa), and lung (A549) cancerous cells, being the highest effect on the latter (IC50: 53.70 mu M). As confirmed by flow cytometry, OPC induced typical apoptosis-derived morphological features on A549 cells, mostly at early and late apoptosis stages. OPC generated a dose -dependent effect inhibiting IL-6 and IL-8 on LPS-stimulated peripheral mononuclear cells (PBMCs). A major affinity of OPC to Akt-1 and Bcl-2 proteins in silico agreed with the observed pro-apoptotic mechanisms. Results suggested that OPC has the potential to alleviate inflammation and be further studied for anticancer activity. Marine-derived food products such as ink contains bioactive metabolites exhibiting potential health benefits.</t>
  </si>
  <si>
    <t>[Hernandez-Zazueta, Martin Samuel; Garcia-Romo, Joel Said; Rosas-Burgos, Ema Carina; Ezquerra-Brauer, Josafat Marina; Burgos-Hernandez, Armando] Univ Sonora, Dept Invest &amp; Posgrad Alimentos, Hermosillo 83000, Sonora, Mexico; [Luzardo-Ocampo, Ivan] Univ Autonoma Queretaro, Res &amp; Grad Program Food Sci, Santiago De Queretaro 76010, Queretaro, Mexico; [Carbonell-Barrachina, Angel Antonio] Univ Miguel Hernandez Elche, Escuela Politecn Super Orihuela, Alicante 03312, Spain; [Taboada-Antelo, Pablo] Univ Santiago De Compostela, Dept Fis Aplicada, Santiago De Compostela 15782, Spain; [Martinez-Soto, Juan Manuel; Candia-Plata, Maria del Carmen] Univ Sonora, Dept Med &amp; Ciencias Salud, Hermosillo 83000, Sonora, Mexico; [Santacruz-Ortega, Hisila del Carmen] Univ Sonora, Dept Invest Polimeros &amp; Mat, Hermosillo 83000, Sonora, Mexico</t>
  </si>
  <si>
    <t>Universidad de Sonora; Universidad Autonoma de Queretaro; Universidad Miguel Hernandez de Elche; Universidade de Santiago de Compostela; Universidad de Sonora; Universidad de Sonora</t>
  </si>
  <si>
    <t>Burgos-Hernández, A (corresponding author), Univ Sonora, Dept Invest &amp; Posgrad Alimentos, Hermosillo 83000, Sonora, Mexico.</t>
  </si>
  <si>
    <t>armando.burgos@unison.mx</t>
  </si>
  <si>
    <t>Consejo Nacional de Ciencia y Tecnologia (CONACyT-Mexico) [329334, 241133, 2174, 622163]; Academy of Finland (AKA) [329334] Funding Source: Academy of Finland (AKA)</t>
  </si>
  <si>
    <t>Consejo Nacional de Ciencia y Tecnologia (CONACyT-Mexico)(Consejo Nacional de Ciencia y Tecnologia (CONACyT)); Academy of Finland (AKA)(Research Council of Finland)</t>
  </si>
  <si>
    <t>Author Martin Hernandez-Zazueta thanks Consejo Nacional de Ciencia y Tecnologia (CONACyT-Mexico) for his Ph.D. Scholarship [grant number: 329334] and the funding provided for this project [grant numbers: 241133 and 2174] . Author I. Luzardo-Ocampo acknowledges the funding received from Programa de Estancias Posdoctorales por Me ' xico para la Consolidaci ' on de las y los Investigadores por Me ' xico [grant number: 622163]</t>
  </si>
  <si>
    <t>10.1016/j.fct.2023.113829</t>
  </si>
  <si>
    <t>Food Science &amp; Technology; Toxicology</t>
  </si>
  <si>
    <t>WOS:001010406300001</t>
  </si>
  <si>
    <t>Imperadore, P; Cagnin, S; Allegretti, V; Millino, C; Raffini, F; Fiorito, G; Ponte, G</t>
  </si>
  <si>
    <t>Imperadore, Pamela; Cagnin, Stefano; Allegretti, Vittoria; Millino, Caterina; Raffini, Francesca; Fiorito, Graziano; Ponte, Giovanna</t>
  </si>
  <si>
    <t>Transcriptome-wide selection and validation of a solid set of reference genes for gene expression studies in the cephalopod mollusk Octopus vulgaris</t>
  </si>
  <si>
    <t>FRONTIERS IN MOLECULAR NEUROSCIENCE</t>
  </si>
  <si>
    <t>Octopus vulgaris; reference genes; qRT-PCR; cephalopods; nervous system; molecular fingerprint</t>
  </si>
  <si>
    <t>CYTOCHROME-OXIDASE ACTIVITY; TIME RT-PCR; HOUSEKEEPING GENES; MEMORY; ACETYLCHOLINESTERASE; QUANTIFICATION; REGENERATION; EVOLUTION; BRAIN</t>
  </si>
  <si>
    <t>Octopus vulgaris is a cephalopod mollusk and an active marine predator that has been at the center of a number of studies focused on the understanding of neural and biological plasticity. Studies on the machinery involved in e.g., learning and memory, regeneration, and neuromodulation are required to shed light on the conserved and/or unique mechanisms that these animals have evolved. Analysis of gene expression is one of the most essential means to expand our understanding of biological machinery, and the selection of an appropriate set of reference genes is the prerequisite for the quantitative real-time polymerase chain reaction (qRT-PCR). Here we selected 77 candidate reference genes (RGs) from a pool of stable and relatively high-expressed transcripts identified from the full-length transcriptome of O. vulgaris, and we evaluated their expression stabilities in different tissues through geNorm, NormFinder, Bestkeeper, Delta-CT method, and RefFinder. Although various algorithms provided different assemblages of the most stable reference genes for the different kinds of tissues tested here, a comprehensive ranking revealed RGs specific to the nervous system (Ov-RNF7 and Ov-RIOK2) and Ov-EIF2A and Ov-CUL1 across all considered tissues. Furthermore, we validated RGs by assessing the expression profiles of nine target genes (Ov-Naa15, Ov-Ltv1, Ov-CG9286, Ov-EIF3M, Ov-NOB1, Ov-CSDE1, Ov-Abi2, Ov-Homer2, and Ov-Snx20) in different areas of the octopus nervous system (gastric ganglion, as control). Our study allowed us to identify the most extensive set of stable reference genes currently available for the nervous system and appendages of adult O. vulgaris.</t>
  </si>
  <si>
    <t>[Imperadore, Pamela; Allegretti, Vittoria; Raffini, Francesca; Fiorito, Graziano; Ponte, Giovanna] Stazione Zoolog Anton Dohrn, Dept Biol &amp; Evolut Marine Organisms, Naples, Italy; [Cagnin, Stefano; Millino, Caterina] Univ Padua, Dept Biol, Padua, Italy; [Cagnin, Stefano] Univ Padua, CIR Myo Myol Ctr, Padua, Italy</t>
  </si>
  <si>
    <t>Stazione Zoologica Anton Dohrn; University of Padua; University of Padua</t>
  </si>
  <si>
    <t>Imperadore, P (corresponding author), Stazione Zoolog Anton Dohrn, Dept Biol &amp; Evolut Marine Organisms, Naples, Italy.</t>
  </si>
  <si>
    <t>imperadore.p@gmail.com</t>
  </si>
  <si>
    <t>Stazione Zoologica Anton Dohrn intramural research fund; HSA-Ceph [1/2019]; Stazione Zoologica Anton Dohrn</t>
  </si>
  <si>
    <t>Stazione Zoologica Anton Dohrn intramural research fund; HSA-Ceph; Stazione Zoologica Anton Dohrn</t>
  </si>
  <si>
    <t>This work was supported by the Stazione Zoologica Anton Dohrn intramural research fund granted to GF and GP and by a HSA-Ceph 1/2019 grant to GP. VA was supported by a short-term fellowship from the Stazione Zoologica Anton Dohrn.</t>
  </si>
  <si>
    <t>MAY 17</t>
  </si>
  <si>
    <t>10.3389/fnmol.2023.1091305</t>
  </si>
  <si>
    <t>Neurosciences</t>
  </si>
  <si>
    <t>Neurosciences &amp; Neurology</t>
  </si>
  <si>
    <t>WOS:000997715300001</t>
  </si>
  <si>
    <t>Ahmed-Babou, D; Demarcq, H; Meissa, B; Bez, N</t>
  </si>
  <si>
    <t>Ahmed-Babou, Dedah; Demarcq, Herve; Meissa, Beyah; Bez, Nicolas</t>
  </si>
  <si>
    <t>Portfolio of distribution maps for Octopus vulgaris off Mauritania</t>
  </si>
  <si>
    <t>AQUATIC LIVING RESOURCES</t>
  </si>
  <si>
    <t>Spatiotemporal distribution data; Maps portfolio; temporal dynamics; Octopus vulgaris</t>
  </si>
  <si>
    <t>STOCKS; GROWTH; RESOURCES; AFRICA</t>
  </si>
  <si>
    <t>This study introduces the concept of portfolios of distribution maps, which consist of the reduced set of empirical orthogonal maps that best explain spatial biomass distributions of a given species over time. The approach is demonstrated for the distributions of common octopus (Octupus vulgaris) off Mauritania over the last thirty years. The maps in the portfolio are the subset of empirical orthogonal maps that allowed to recover 60% of the spatiotemporal biomass distribution variance and whose temporal weights were significantly correlated with abundance. For octopus during the hot season, one single map explained half of the overall variance of the distribution data, while during the cold season, the portfolio of octopus distribution maps consisted of four maps, with the temporal weights of the second map being negatively correlated with upwelling intensity six months before. The size of each portfolio represents the number of distinct spatial patterns describing octopus spatial distributions. Assuming that specific but hidden processes explain each biomass spatial distribution of the portfolio, the size of a map portfolio might be interpreted as a proxy for system resilience. A small portfolio could reflect systems that are more fragile.</t>
  </si>
  <si>
    <t>[Ahmed-Babou, Dedah; Meissa, Beyah] IMROP, Nouadhibou, Mauritania; [Ahmed-Babou, Dedah] Minist Fisheries &amp; Maritime Econ, Nouakchott, Mauritania; [Ahmed-Babou, Dedah; Demarcq, Herve; Bez, Nicolas] Univ Montpellier, MARBEC, IRD, Ifremer,CNRS,INRAE, Sete, France</t>
  </si>
  <si>
    <t>Ifremer; Institut de Recherche pour le Developpement (IRD); INRAE; Universite de Montpellier; Centre National de la Recherche Scientifique (CNRS)</t>
  </si>
  <si>
    <t>Ahmed-Babou, D (corresponding author), IMROP, Nouadhibou, Mauritania.;Ahmed-Babou, D (corresponding author), Minist Fisheries &amp; Maritime Econ, Nouakchott, Mauritania.;Ahmed-Babou, D (corresponding author), Univ Montpellier, MARBEC, IRD, Ifremer,CNRS,INRAE, Sete, France.</t>
  </si>
  <si>
    <t>dedah.ahmed-babou@ird.fr</t>
  </si>
  <si>
    <t>MAY 16</t>
  </si>
  <si>
    <t>10.1051/alr/2023008</t>
  </si>
  <si>
    <t>WOS:000988587800002</t>
  </si>
  <si>
    <t>Barrett, CJ; Bradley, K; Brazier, A</t>
  </si>
  <si>
    <t>Barrett, C. J.; Bradley, K.; Brazier, A.</t>
  </si>
  <si>
    <t>Common, curled or miscellaneous: The need for species-specific recordings of octopuses to inform stock assessments</t>
  </si>
  <si>
    <t>Cephalopods; Eledone cirrhosa; Octopus; Octopus vulgaris; Stock assessments</t>
  </si>
  <si>
    <t>CEPHALOPODS; OCTOPODIDAE</t>
  </si>
  <si>
    <t>The curled octopus Eledone cirrhosa and common octopus Octopus vulgaris could be considered resident to the waters around the UK, though the latter is considered rare following historic population crashes and severe range contractions. There is evidence of an emerging fishery for octopus in the UK though understanding population dynamics between the two species and producing meaningful stock assessments are difficult because most landings data are not species specific. This emerging fishery, together with the government's plan for octopus to be included in fisheries management plans, and a growing desire among fishers and the public to have more fisheries certified for sustainability means there is a need for octopus landings data to be species specific. A similar case has existed for two species of megrim (Lepidorhombus whiffiagonis and L. boscii) whereby both species were initially subject to a single total allowable catch (TAC), however concerns about sustainability presented the need for the species to be assessed, and their fisheries managed, separately. We consider this work to be applicable to any other commercially important species which are currently assessed as a single unit but where localised populations may exist.</t>
  </si>
  <si>
    <t>[Barrett, C. J.; Bradley, K.; Brazier, A.] RPS Grp, Imaginat House,Stn Rd, Chepstow NP16 5PB, Mons, Wales; [Barrett, C. J.; Bradley, K.; Brazier, A.] Cefas, Pakefield Rd, Lowestoft NR33 0HT, Suffolk, England</t>
  </si>
  <si>
    <t>Centre for Environment Fisheries &amp; Aquaculture Science</t>
  </si>
  <si>
    <t>Barrett, CJ (corresponding author), RPS Grp, Imaginat House,Stn Rd, Chepstow NP16 5PB, Mons, Wales.</t>
  </si>
  <si>
    <t>chris.barrett@rpsgroup.com</t>
  </si>
  <si>
    <t>10.1016/j.marpol.2023.105632</t>
  </si>
  <si>
    <t>WOS:001004734800001</t>
  </si>
  <si>
    <t>Roura, A; Castro-Bugallo, A; Martínez-Pérez, M</t>
  </si>
  <si>
    <t>Roura, A.; Castro-Bugallo, A.; Martinez-Perez, M.</t>
  </si>
  <si>
    <t>The settlement stage in the common octopus Octopus vulgaris Cuvier, 1797: a complex transition between planktonic and benthic lifestyles</t>
  </si>
  <si>
    <t>Octopus vulgaris; Settlement; Life cycle; Behaviour; Morphology; Merobenthic</t>
  </si>
  <si>
    <t>CEPHALOPODA OCTOPODIDAE; GROWTH; PARALARVAE; TEMPERATURE; ARTEMIA; BIOLOGY</t>
  </si>
  <si>
    <t>Merobenthic octopods like Octopus vulgaris undergo a transitional period between the planktonic and benthic phases, known as settlement stage. In this work, three sub-stages (pre-settlement, settlement and post-settlement) have been defined based on morphological, anatomical, and behavioural changes. At the end of the planktonic phase advanced paralarvae are transparent with 65-80 chromatophores, iridophores covering eyes and digestive system, Kolliker organs, circular pupils, similar to 20 suckers per arm (spa), and mantle length (ML) bigger than total length (TL; ML/TL &gt; 60%). The pre-settlement sub-stage (ML/TL from 65 to 55%, similar to 20-25 spa) is marked by the onset of clinging reflexes, where the pre-settlers touch the walls and bottom of the tank and start crawling clumsily. Morphologically, they are transparent with increased chromatophores along the arms and iridophores around the eyes and head. During the settlement sub-stage (similar to 55-48% ML/TL, similar to 25-35 spa) there is an exponential increase of chromatophores in the dorsal area of head and mantle, and the settlers show strong negative phototaxis, crawling for shelter when disturbed. The skin is still transparent but new chromatic cells (leucophores) develop and Kolliker organs are almost lost. During the post-settlement sub-stage (similar to 48-40% ML/TL, &gt; 35 spa) the post-settlers display very fast and coordinated movements, have horizontal pupils, and develop the eye-bar. The chromatic cells keep increasing exponentially, giving a pale appearance to the skin. The beginning of the benthic phase in O. vulgaris juveniles is marked by the presence of skin sculptural components (papillae) and a complex display of chromatic, postural, and cryptic patterns.</t>
  </si>
  <si>
    <t>[Roura, A.; Castro-Bugallo, A.; Martinez-Perez, M.] CSIC, IIM, Eduardo Cabello 6, Vigo 36206, Spain; [Roura, A.] Ecol Azul Blue Ecol BEC, Pontevedra, Galicia, Spain</t>
  </si>
  <si>
    <t>Roura, A (corresponding author), CSIC, IIM, Eduardo Cabello 6, Vigo 36206, Spain.;Roura, A (corresponding author), Ecol Azul Blue Ecol BEC, Pontevedra, Galicia, Spain.</t>
  </si>
  <si>
    <t>10.1007/s00227-023-04188-2</t>
  </si>
  <si>
    <t>WOS:000960414100005</t>
  </si>
  <si>
    <t>Dan, S; Yamamoto, Y; Nishiwaki, D; Matsunari, H; Kado, Y; Yamaki, D; Takeshima, S; Kamei, Y; Hara, S; Sakiyama, K; Isojima, N; Narita, A; Hamasaki, K</t>
  </si>
  <si>
    <t>Dan, Shigeki; Yamamoto, Yuki; Nishiwaki, Doppo; Matsunari, Hiroyuki; Kado, Yusei; Yamaki, Daigo; Takeshima, Satoshi; Kamei, Yoshinori; Hara, Satoko; Sakiyama, Kazuaki; Isojima, Noboru; Narita, Atsushi; Hamasaki, Katsuyuki</t>
  </si>
  <si>
    <t>Dietary effects of intensively reared zoeae of Portunus trituberculatus on survival and growth of paralarvae of the East Asian common octopus Octopus sinensis</t>
  </si>
  <si>
    <t>Octopus aquaculture; Larval rearing; Upwelling system; Artemia; Fatty acid</t>
  </si>
  <si>
    <t>FATTY-ACID-COMPOSITION; MASS SEED PRODUCTION; SWIMMING CRAB; VULGARIS CUVIER; BODY DENSITY; ERIMACRUS-ISENBECKII; HORSEHAIR CRAB; REARING SYSTEM; PREY DENSITY; LARVAE</t>
  </si>
  <si>
    <t>Zoea larvae of decapod crustaceans are considered to be the best prey organisms for culturing paralarvae of merobenthic octopuses. Because paralarvae consume many zoeae until settling as juveniles, a reliable method is required to rear a large number of zoeae at a high stocking density while maintaining their nutrition at a level to meet the demands of octopus paralarvae. However, when rearing zoeae, sinking-death syndrome (where many zoeae are deposited on the bottom of the rearing tanks) results in high mortality. In Experiment 1, to reduce larval deposition and lower the mortality, an upwelling system was installed and tested for its effectiveness in rearing a high stocking density of Portunus trituberculatus zoeae at low mortality. The effect of different supply densities of Artemia on growth and morphology of zoeae was also investigated to evaluate the nutrient sufficiency of zoeae under intensive rearing conditions. In Experiment 2, Octopus sinensis paralarvae were reared for 15 d, supplied with either early-stage zoeae or late-stage (long-term reared) zoeae, to examine the dietary effect of intensively reared zoeae on paralarval survival and growth. In Experiment 1, the proportion of zoeae sinking to the bottom was significantly reduced by using the upwelling system, and the survival rate of zoeae was higher in tanks with an upwelling system at a high stocking density of zoeae (500 individuals L-1) compared to those without. Larger body size and faster morphogenesis of larvae were obtained at the final (fourth) zoeal stage when zoeae were supplied with Artemia at high density compared with those supplied at low density. Composition of docosahexaenoic acid (DHA) in intensively-reared final-stage zoeae (10 d old) was maintained at a similar level to that in first-stage zoeae (1 d old) by supplying a high density of Artemia enriched with DHA. In Experiment 2, a higher survival rate and heavier body weight of paralarvae were obtained in the group supplied mainly with late -stage zoeae compared to that with early-stage zoeae. Because the supply of zoeae was adjusted to the same dry weight for both groups, it is concluded that supplying large-sized zoeae increases the efficiency of prey capture and nutrient absorption by the paralarvae. These results suggest that a combination of the use of an upwelling system and a high-density supply of enriched Artemia is effective for intensive rearing of zoeae, achieving reduced facility costs and more efficient production of high-quality prey for rearing octopus paralarvae.</t>
  </si>
  <si>
    <t>[Dan, Shigeki; Yamamoto, Yuki; Nishiwaki, Doppo; Kado, Yusei; Yamaki, Daigo; Hamasaki, Katsuyuki] Tokyo Univ Marine Sci &amp; Technol, Dept Marine Biosci, Minato, Tokyo 1088477, Japan; [Matsunari, Hiroyuki] Japan Fisheries Res &amp; Educ Agcy, Aquaculture Res Dept, Fisheries Technol Inst, Physiol Funct Div, Tamaki, Mie 5190423, Japan; [Takeshima, Satoshi] Japan Fisheries Res &amp; Educ Agcy, Aquaculture Res Dept, Fisheries Technol Inst, Prod Engn Div, Onomichi, Hiroshima 7220061, Japan; [Kamei, Yoshinori] Okayama Prefectural Technol Ctr Agr Forestry &amp; Fis, Res Inst Fisheries Sci, Setouchi, Okayama 7014303, Japan; [Hara, Satoko] Kagawa Prefectural Fisheries Expt Stn, Takamatsu, Kagawa 7610111, Japan; [Sakiyama, Kazuaki] Oita Prefectural Agr Forestry &amp; Fisheries Res Ctr, Fisheries Res Div, Bungo Takada, Oita 8790608, Japan; [Isojima, Noboru; Narita, Atsushi] Marinetech Co Ltd, Tahara, Aichi 4413605, Japan</t>
  </si>
  <si>
    <t>Tokyo University of Marine Science &amp; Technology; Japan Fisheries Research &amp; Education Agency (FRA); Japan Fisheries Research &amp; Education Agency (FRA)</t>
  </si>
  <si>
    <t>research program on development of innovative technology grants from the Project of the Bio-oriented Technology Research Advancement Institution (BRAIN) [JPJ007097]</t>
  </si>
  <si>
    <t>research program on development of innovative technology grants from the Project of the Bio-oriented Technology Research Advancement Institution (BRAIN)</t>
  </si>
  <si>
    <t>We thank Atsushi Ito for helpful comments on an early version of the manuscript. We appreciate Ian G. Gleadall (AiCeph LLC, Sendai) for assistance in preparing the manuscript and valuable advice. We are also grateful to the editor and anonymous reviewers for valuable comments and suggestions, which have improved the manuscript. This research was supported by the research program on development of innovative technology grants from the Project of the Bio-oriented Technology Research Advancement Institution (BRAIN) under Grant Number JPJ007097.</t>
  </si>
  <si>
    <t>AUG 30</t>
  </si>
  <si>
    <t>10.1016/j.aquaculture.2023.739617</t>
  </si>
  <si>
    <t>APR 2023</t>
  </si>
  <si>
    <t>WOS:000991294000001</t>
  </si>
  <si>
    <t>Faiki, A; Chairi, H; Idrissi, MM; Bensbai, J</t>
  </si>
  <si>
    <t>Faiki, Ahmed; Chairi, Hicham; Idrissi, Mohammed Malouli; Bensbai, Jilali</t>
  </si>
  <si>
    <t>Study of the growth of Octopus vulgaris in the Moroccan Mediterranean Sea by direct age estimation through the analysis of upper beaks</t>
  </si>
  <si>
    <t>Age study; beaks; correlation; growth curve; growth increments; Octopus vulgaris</t>
  </si>
  <si>
    <t>LIFE-CYCLE; CUVIER; TEMPERATURE; VALIDATION; PATTERNS; WATERS; SQUID; TOOLS; LINES</t>
  </si>
  <si>
    <t>Beaks are one of the most important sclerochronological structures used to study the age and growth of cephalopods, in particular Octopus vulgaris Cuvier, 1797. The present study provides results of ageing of 128 O. vulgaris (56-239 mm dorsal mantle length, DML; 121-5974 g total weight, TW) collected in the southern Moroccan Mediterranean coasts between Fnideq and Jebha. The number of increments corresponding to the age (days since hatching) varied from 137-368 in females and from 129-382 in males. There was a significant correlation between beak and somatic growth. The correlation coefficients of the growth curves DML-Age and TW-Age were similar for both power and exponential models: DML = 0.185Age(1.188) (R-2 = 0.547), DML = 35.933e(0.005Age) (R-2 = 0.546), TW = 0.00002Age(3.260) (R-2 = 0.532), TW = 29.56e(0.014Age) (R-2 = 0.541). The average width of the increments was similar between females and males. It varied significantly with season and stage of sexual maturity. Comparison of the growth curve with those estimated by other authors showed that Moroccan Mediterranean O. vulgaris grew faster than that of Sardinia (Italy) and slower than that of the Mauritanian coast.</t>
  </si>
  <si>
    <t>[Faiki, Ahmed; Chairi, Hicham] Abdelmalek Essaadi Univ, Polydisciplinary Fac Larache, Res team Biol Engn Food Proc &amp; Aquaculture, BP 745, Tetouan 92000, Morocco; [Idrissi, Mohammed Malouli] Natl Fisheries Res Inst INRH, Reg Ctr, POB 5268, Tangier, Morocco; [Bensbai, Jilali] Natl Fisheries Res Inst INRH, POB 5268, Tangier, Morocco</t>
  </si>
  <si>
    <t>Faiki, A (corresponding author), Abdelmalek Essaadi Univ, Polydisciplinary Fac Larache, Res team Biol Engn Food Proc &amp; Aquaculture, BP 745, Tetouan 92000, Morocco.</t>
  </si>
  <si>
    <t>ahmed.faiki@mpm.gov.ma</t>
  </si>
  <si>
    <t>APR 27</t>
  </si>
  <si>
    <t>e33</t>
  </si>
  <si>
    <t>10.1017/S0025315423000218</t>
  </si>
  <si>
    <t>WOS:000977251600001</t>
  </si>
  <si>
    <t>Pérez-Polo, S; Imran, MAS; Dios, S; Pérez, J; Barros, L; Carrera, M; Gestal, C</t>
  </si>
  <si>
    <t>Perez-Polo, Sara; Imran, Md Abdus Shukur; Dios, Sonia; Perez, Jaime; Barros, Lorena; Carrera, Monica; Gestal, Camino</t>
  </si>
  <si>
    <t>Identifying Natural Bioactive Peptides from the Common Octopus (Octopus vulgaris Cuvier, 1797) Skin Mucus By-Products Using Proteogenomic Analysis</t>
  </si>
  <si>
    <t>Octopus vulgaris; skin mucus; proteomics; mass spectrometry; bioactive peptides; food</t>
  </si>
  <si>
    <t>PROTEINS; NETWORKS; LIFE</t>
  </si>
  <si>
    <t>The common octopus is a cephalopod species subject to active fisheries, with great potential in the aquaculture and food industry, and which serves as a model species for biomedical and behavioral studies. The analysis of the skin mucus allows us to study their health in a non-invasive way, by using a hardly exploited discard of octopus in the fishing sector. A shotgun proteomics approach combined with liquid chromatography coupled with tandem mass spectrometry (LC-MS/MS) using an Orbitrap-Elite instrument was used to create a reference dataset from octopus skin mucus. The final proteome compilation was investigated by integrated in-silico studies, including Gene Ontology (GO), the Kyoto Encyclopedia of Genes and Genomes (KEGG) pathway, network studies, and prediction and characterization analysis of potential bioactive peptides. This work presents the first proteomic analysis of the common octopus skin mucus proteome. This library was created by merging 5937 identified spectra of 2038 different peptides. A total of 510 non-redundant proteins were identified. Obtained results show proteins closely related to the defense, which highlight the role of skin mucus as the first barrier of defense and the interaction with the environment. Finally, the potential of the bioactive peptides with antimicrobial properties, and their possible application in biomedicine, pharmaceutical, and nutraceutical industry was addressed.</t>
  </si>
  <si>
    <t>[Perez-Polo, Sara; Imran, Md Abdus Shukur; Dios, Sonia; Perez, Jaime; Barros, Lorena; Carrera, Monica; Gestal, Camino] CSIC, Inst Invest Marinas IIM, Eduardo Cabello 6, Vigo 36208, Spain</t>
  </si>
  <si>
    <t>mcarrera@iim.csic.es; cgestal@iim.csic.es</t>
  </si>
  <si>
    <t>MCIN/AEI [PID2019-103845RB-C21, PID2020-119906GB-I00, AGL2017-89475-C2-1-R]; FEDER Una manera de hacer Europa; JAE Intro research grant</t>
  </si>
  <si>
    <t>MCIN/AEI; FEDER Una manera de hacer Europa; JAE Intro research grant</t>
  </si>
  <si>
    <t>This research was supported by Projects PID2019-103845RB-C21 and PID2020-119906GB-I00 funded by MCIN/AEI/10.13039/501100011033, and the Project AGL2017-89475-C2-1-R funded by MCIN/AEI/10.13039/501100011033, and for FEDER Una manera de hacer Europa, and the JAE Intro research grant JAE Intro ICU, within the framework of the Junta para la Ampliacion de Estudios 2021 program.</t>
  </si>
  <si>
    <t>APR</t>
  </si>
  <si>
    <t>10.3390/ijms24087145</t>
  </si>
  <si>
    <t>WOS:000979377000001</t>
  </si>
  <si>
    <t>Imran, MAS; Carrera, M; Pérez-Polo, S; Pérez, J; Barros, L; Dios, S; Gestal, C</t>
  </si>
  <si>
    <t>Imran, Md Abdus Shukur; Carrera, Monica; Perez-Polo, Sara; Perez, Jaime; Barros, Lorena; Dios, Sonia; Gestal, Camino</t>
  </si>
  <si>
    <t>Insights into Common Octopus (Octopus vulgaris) Ink Proteome and Bioactive Peptides Using Proteomic Approaches</t>
  </si>
  <si>
    <t>by-product; shotgun proteomics; mass spectrometry; protein-based bioinformatics; protein network; marine natural products</t>
  </si>
  <si>
    <t>KEYHOLE LIMPET HEMOCYANIN; MOLECULAR-CLONING; SHOTGUN PROTEOMICS; GENE; PHENOLOXIDASE; CEPHALOPODS; EXPRESSION; POLYSACCHARIDE; IDENTIFICATION; PURIFICATION</t>
  </si>
  <si>
    <t>The common octopus (Octopus vulgaris) is nowadays the most demanded cephalopod species for human consumption. This species was also postulated for aquaculture diversification to supply its increasing demand in the market worldwide, which only relies on continuously declining field captures. In addition, they serve as model species for biomedical and behavioral studies. Body parts of marine species are usually removed before reaching the final consumer as by-products in order to improve preservation, reduce shipping weight, and increase product quality. These by-products have recently attracted increasing attention due to the discovery of several relevant bioactive compounds. Particularly, the common octopus ink has been described as having antimicrobial and antioxidant properties, among others. In this study, the advanced proteomics discipline was applied to generate a common octopus reference proteome to screen potential bioactive peptides from fishing discards and by-products such as ink. A shotgun proteomics approach by liquid chromatography coupled with tandem mass spectrometry (LC-MS/MS) using an Orbitrap Elite instrument was used to create a reference dataset from octopus ink. A total of 1432 different peptides belonging to 361 non-redundant annotated proteins were identified. The final proteome compilation was investigated by integrated in silico studies, including gene ontology (GO) term enrichment, pathways, and network studies. Different immune functioning proteins involved in the innate immune system, such as ferritin, catalase, proteasome, Cu/Zn superoxide dismutase, calreticulin, disulfide isomerase, heat shock protein, etc., were found in ink protein networks. Additionally, the potential of bioactive peptides from octopus ink was addressed. These bioactive peptides can exert beneficial health properties such as antimicrobial, antioxidant, antihypertensive, and antitumoral properties and are therefore considered lead compounds for developing pharmacological, functional foods or nutraceuticals.</t>
  </si>
  <si>
    <t>[Imran, Md Abdus Shukur; Carrera, Monica; Perez-Polo, Sara; Perez, Jaime; Barros, Lorena; Dios, Sonia; Gestal, Camino] CSIC, Inst Invest Marinas IIM, Eduardo Cabello 6, Vigo 36208, Spain</t>
  </si>
  <si>
    <t>Dios, S; Gestal, C (corresponding author), CSIC, Inst Invest Marinas IIM, Eduardo Cabello 6, Vigo 36208, Spain.</t>
  </si>
  <si>
    <t>sdios@iim.csic.es; cgestal@iim.csic.es</t>
  </si>
  <si>
    <t>MCIN/AEI [PID2019-103845RB-C21, PID2020-119906GB-I00, AGL2017-89475-C2-1-R]</t>
  </si>
  <si>
    <t>MCIN/AEI</t>
  </si>
  <si>
    <t>This research was supported by Projects PID2019-103845RB-C21 and PID2020-119906GB-I00 funded by MCIN/AEI/10.13039/501100011033 and Project AGL2017-89475-C2-1-R funded by MCIN/AEI/10.13039/501100011033 and for FEDER Una manera de hacer Europa.</t>
  </si>
  <si>
    <t>10.3390/md21040206</t>
  </si>
  <si>
    <t>WOS:000978666600001</t>
  </si>
  <si>
    <t>Teixeira, B; Vieira, H; Martins, S; Mendes, R</t>
  </si>
  <si>
    <t>Teixeira, Barbara; Vieira, Helena; Martins, Sandra; Mendes, Rogerio</t>
  </si>
  <si>
    <t>Development of a Rapid and Non-Destructive Method for the Detection of Water Addition in Octopus Species (Octopus vulgaris and Eledone cirrhosa) Using Time Domain Reflectometry (TDR)</t>
  </si>
  <si>
    <t>rapid methods; dielectric properties; water addition; fraud; cephalopods</t>
  </si>
  <si>
    <t>PROXIMATE COMPOSITION; BIOCHEMICAL-COMPOSITION; PROTEIN FUNCTIONALITY; QUALITY; SEAFOOD; CUTTLEFISH; PREDICTION; TEXTURE; STORAGE; MUSCLE</t>
  </si>
  <si>
    <t>Consumer expectations regarding the quality of octopus are often frustrated and dissatisfaction is frequent, namely due to the excessive reduction in weight after cooking. Therefore, a rapid and non-destructive method based in time domain reflectometry (TDR) was developed for the control of water added to octopus (Octopus vulgaris and Eledone cirrhosa). O. vulgaris had significant higher values of moisture content, moisture/protein ratio, and cooking loss than E. cirrhosa. Immersion in freshwater increased the weight of O. vulgaris in ca. 32% after 32 h, and of E. cirrhosa in ca. 21% after 36 h, and cooking losses increased about 13.9% and 26.1%, respectively. The results reveal how consumers can be misled by abusive water addition. Changes in electrical conductivity and TDR curves were linked with the increasing incorporation of water and dilution effect of salts from octopus muscle. TDR technology and linear discriminant analysis were combined to detect added water in octopus. The classification model developed was cross-validated and 98.6% of samples were correctly classified. The method can be used to proof the authenticity of octopus (O. vulgaris and E. cirrhosa) or to detect fraudulent practices regarding added water.</t>
  </si>
  <si>
    <t>[Teixeira, Barbara; Vieira, Helena; Martins, Sandra; Mendes, Rogerio] Portuguese Inst Sea &amp; Atmosphere, Dept Sea &amp; Marine Resources, Ave Doutor Alfredo Magalhaes Ramalho 6, P-1495165 Alges, Portugal; [Teixeira, Barbara; Martins, Sandra; Mendes, Rogerio] Univ Porto, Interdisciplinary Ctr Marine &amp; Environm Res CIIMAR, Rua Bragas 289, P-4050123 Porto, Portugal</t>
  </si>
  <si>
    <t>Instituto Portugues do Mar e da Atmosfera; Universidade do Porto</t>
  </si>
  <si>
    <t>Teixeira, B (corresponding author), Portuguese Inst Sea &amp; Atmosphere, Dept Sea &amp; Marine Resources, Ave Doutor Alfredo Magalhaes Ramalho 6, P-1495165 Alges, Portugal.;Teixeira, B (corresponding author), Univ Porto, Interdisciplinary Ctr Marine &amp; Environm Res CIIMAR, Rua Bragas 289, P-4050123 Porto, Portugal.</t>
  </si>
  <si>
    <t>barbara.p.b.teixeira@gmail.com; helenavieira27@gmail.com; sandra.regalado@ipma.pt; rogerio@ipma.pt</t>
  </si>
  <si>
    <t>project SeaTraces: Smart Traceability and Labeling Toolbox for a Sustainable Seafood Production (Interreg Atlantic Area Programme [EAPA_87/2016]</t>
  </si>
  <si>
    <t>project SeaTraces: Smart Traceability and Labeling Toolbox for a Sustainable Seafood Production (Interreg Atlantic Area Programme</t>
  </si>
  <si>
    <t>This research work was supported by the project SeaTraces: Smart Traceability and Labeling Toolbox for a Sustainable Seafood Production (Interreg Atlantic Area Programme, ref: EAPA_87/2016).</t>
  </si>
  <si>
    <t>10.3390/foods12071461</t>
  </si>
  <si>
    <t>WOS:000969548100001</t>
  </si>
  <si>
    <t>Ainsworth, GB; Pita, P; Pita, C; Roumbedakis, K; Pierce, GJ; Longo, C; Verutes, G; Fonseca, T; Castelo, D; Montero-Castaño, C; Valeiras, J; Rocha, F; García-de-la-Fuente, L; Acuña, JL; Rueda, MDF; Fabregat, AG; Martín-Aristín, A; Villasante, S</t>
  </si>
  <si>
    <t>Ainsworth, Gillian B.; Pita, Pablo; Pita, Cristina; Roumbedakis, Katina; Pierce, Graham J.; Longo, Catherine; Verutes, Gregory; Fonseca, Tereza; Castelo, Daniela; Montero-Castano, Carlos; Valeiras, Julio; Rocha, Francisco; Garcia-de-la-Fuente, Laura; Acuna, Jose Luis; Fernandez Rueda, M. del Pino; Fabregat, Alberto Garazo; Martin-Aristin, Alberto; Villasante, Sebastian</t>
  </si>
  <si>
    <t>Identifying sustainability priorities among value chain actors in artisanal common octopus fisheries</t>
  </si>
  <si>
    <t>Ecological; Economic; Ethical; Institutional; Octopus vulgaris; Social value; Technological</t>
  </si>
  <si>
    <t>VULGARIS; MANAGEMENT; CERTIFICATION; CEPHALOPODS; MODELS</t>
  </si>
  <si>
    <t>The United Nations (UN) Decade of Ocean Science highlights a need to improve the way in which scientific results effectively inform action and policies regarding the ocean. Our research contributes to achieving this goal by identifying practical actions, barriers, stakeholder contributions and resources required to increase the sustainability of activities carried out in the context of artisanal fisheries to meet UN Sustainable Development Goals (SDG) and International Year of Artisanal Fisheries and Aquaculture (IYAFA) Global Action Plan (GAP) Pillar targets. We conducted a novel 'social value chain analysis' via a participatory workshop to elicit perspectives of value chain actors and fisheries stakeholders associated with two Spanish artisanal common octopus (Octopus vulgaris) fisheries (western Asturias-Marine Stewardship Council [MSC] certified, and Galicia-non-MSC certified) about their priorities regarding sustainable octopus production and commercialization. Our adapted Rapfish sustainability framework emphasised the importance of economic, environmental, ethical, institutional, social, and technological indicators to different actors across the value chain. We mapped participants' shared sustainability priorities (e.g. integrated fisheries management, knowledge-based management, product traceability) to six Rapfish indicators, seven IYAFA Pillars and twelve SDGs to reveal how our results can inform ocean policy and actions. This identified how certification incentives and other cooperative approaches can facilitate environmental, economic and social sustainability (e.g. value-added products, price premiums for producers, gender inclusive organisations); support IYAFA priority outcomes (raised awareness, strengthened science-policy interface, empowered stakeholders, partnerships); and help to achieve UN SDG targets (e.g. SDG 14.b, SDG 17.17). The results can inform actors, stakeholders and policymakers about how different actors contribute to efforts to achieve the SDGs and how to manage priorities for sustainable actions within artisanal fisheries and their value chains. We recommend inclusive and equitable participatory knowledge transfer and governance platforms as part of the UN Decade of Ocean Science and beyond where participants can create theories of change towards sustainability involving the development of multi-sectoral ocean policies framed at the level of the value chain and supported by appropriate governance structures. [GRAPHICS]</t>
  </si>
  <si>
    <t>[Ainsworth, Gillian B.; Pita, Pablo; Roumbedakis, Katina; Verutes, Gregory; Villasante, Sebastian] Univ Santiago De Compostela, Fac Business Adm &amp; Management, Santiago De Compostela, Spain; [Ainsworth, Gillian B.; Pita, Pablo; Roumbedakis, Katina; Verutes, Gregory; Villasante, Sebastian] Univ Santiago De Compostela, Dept Appl Econ, CRETUS, Santiago De Compostela, Spain; [Pita, Cristina] Int Inst Environm &amp; Dev IIED, London, England; [Pita, Cristina; Roumbedakis, Katina; Fonseca, Tereza; Castelo, Daniela] Univ Aveiro, CESAM Ctr Environm &amp; Marine Studies, Dept Environm &amp; Planning, Aveiro, Portugal; [Pierce, Graham J.] Inst Invest Marinas CSIC, Vigo, Spain; [Longo, Catherine; Montero-Castano, Carlos] Marine Stewardship Council MSC, London, England; [Valeiras, Julio] Inst Espanol Oceanog, Madrid, Spain; [Rocha, Francisco] Univ Vigo, Dept Ecol &amp; Biol Anim, BA2 Campus Vigo Lagoas Marcosende, Vigo 36310, Spain; [Garcia-de-la-Fuente, Laura] Univ Oviedo, INDUROT, Oviedo, Spain; [Acuna, Jose Luis] Univ Oviedo, OMA, Oviedo, Spain; [Fernandez Rueda, M. del Pino] Consejeria Medio Rural &amp; Cohes Terr Principado As, Ctr Expt Pesquera, Gijon, Spain; [Fabregat, Alberto Garazo; Martin-Aristin, Alberto] Marine Stewardship Council MSC, Madrid, Spain</t>
  </si>
  <si>
    <t>Universidade de Santiago de Compostela; Universidade de Santiago de Compostela; Universidade de Aveiro; Consejo Superior de Investigaciones Cientificas (CSIC); CSIC - Instituto de Investigaciones Marinas (IIM); Spanish Institute of Oceanography; Universidade de Vigo; University of Oviedo; University of Oviedo</t>
  </si>
  <si>
    <t>Ainsworth, GB (corresponding author), Univ Santiago De Compostela, Fac Business Adm &amp; Management, Santiago De Compostela, Spain.;Ainsworth, GB (corresponding author), Univ Santiago De Compostela, Dept Appl Econ, CRETUS, Santiago De Compostela, Spain.</t>
  </si>
  <si>
    <t>gill.ainsworth@usc.es</t>
  </si>
  <si>
    <t>CRUE-CSIC agreement; Springer Nature; European Regional Development Fund through the Interreg Atlantic Area Programme grant [EAPA_282/2016]; FCT/MCTES [UIDP/50017/2020 +UIDB/50017/2020 +LA/P/0094/2020]; FCT [2020.02510.CEECIND]; Xunta de Galicia [1400 ED481B2018/017, 1401 ED431C2019/11]</t>
  </si>
  <si>
    <t>CRUE-CSIC agreement(Consejo Superior de Investigaciones Cientificas (CSIC)); Springer Nature; European Regional Development Fund through the Interreg Atlantic Area Programme grant(Interreg Europe); FCT/MCTES(Fundacao para a Ciencia e a Tecnologia (FCT)); FCT(Fundacao para a Ciencia e a Tecnologia (FCT)); Xunta de Galicia(Xunta de Galicia)</t>
  </si>
  <si>
    <t>Open Access funding provided thanks to the CRUE-CSIC agreement with Springer Nature. The authors acknowledge the financial support from the Cephs and Chefs Project (https://www.cephsandchefs.com/) funded by the European Regional Development Fund (https://ec.europa.eu/regio nal_policy/en/funding/erdf/) through the Interreg Atlantic Area Programme grant number EAPA_282/2016. CP, TF, KR and DC would also like to acknowledge financial support to CESAM by FCT/MCTES (UIDP/50017/2020 +UIDB/50017/2020 +LA/P/0094/2020), through national funds. CP acknowledges the FCT research contract 2020.02510.CEECIND. SV and PP acknowledge the financial support from the Xunta de Galicia (https://www.xunta.gal/portada) (RECREGES II project under Grant 1400 ED481B2018/017 and Grupo de Referencia Competitiva GI-2060 AEMI, under Grant 1401 ED431C2019/11). The funders had no role in study design, data collection and analysis, decision to publish, or preparation of the manuscript.</t>
  </si>
  <si>
    <t>10.1007/s11160-023-09768-5</t>
  </si>
  <si>
    <t>MAR 2023</t>
  </si>
  <si>
    <t>WOS:000943576800002</t>
  </si>
  <si>
    <t>Pirhadi, N; Parrondo, M; Romero-Bascones, A; Thoppil, R; Martínez, JL; Fernández-Rueda, MP; Márquez, I; García-Flórez, L; Dopico, E; Pérez, T; Borrell, YJ</t>
  </si>
  <si>
    <t>Pirhadi, N.; Parrondo, M.; Romero-Bascones, A.; Thoppil, R.; Martinez, J. L.; Fernandez-Rueda, M. P.; Marquez, I.; Garcia-Florez, L.; Dopico, E.; Perez, T.; Borrell, Y. J.</t>
  </si>
  <si>
    <t>Genetic monitoring on the world's first MSC eco-labeled common octopus (O. vulgaris) fishery in western Asturias, Spain</t>
  </si>
  <si>
    <t>EFFECTIVE POPULATION-SIZE; SEA-SURFACE TEMPERATURE; MEDITERRANEAN SEA; MICROSATELLITE LOCI; IBERIAN PENINSULA; UPWELLING SYSTEM; COMPUTER-PROGRAM; R-PACKAGE; MARINE; CEPHALOPODA</t>
  </si>
  <si>
    <t>Octopus vulgaris (Cuvier, 1797) is a cephalopod species with great economic value. In western Asturias (northwest of Spain), O. vulgaris artisanal fisheries are relatively well monitored and conditionally eco-labeled by the Marine Stewardship Council (MSC). Despite this, the Asturian octopus stocks have not been genetically assessed so far. In order to improve the current fishery plan and contrast the octopus eco-label validity in Asturias, 539 individuals from five regions of the O. vulgaris geographic distribution, including temporal samplings in Asturias, were collected and genotyped at thirteen microsatellite loci. All the samples under analysis were in agreement with Hardy-Weinberg expectations. Spatial levels of genetic differentiation were estimated using F-statistics, multidimensional scaling, and Bayesian analyses. Results suggested that the O. vulgaris consists of at least four genetically different stocks coming from two ancestral lineages. In addition, temporal analyses showed stability in terms of genetic variation and high N-E (&gt; 50) for several generations in different localities within Asturias, pointing out to indeed sustainable fishery exploitation levels. Even though, the current Asturias fishery plan shows no significant genetic damages to the stocks, the regional-specific management plans need systematic genetic monitoring schemes as part of an efficient and preventive regional fishery regulation strategy.</t>
  </si>
  <si>
    <t>[Pirhadi, N.; Parrondo, M.; Romero-Bascones, A.; Thoppil, R.; Perez, T.; Borrell, Y. J.] Univ Oviedo, Dept Funct Biol, Genet, Oviedo 33006, Spain; [Martinez, J. L.] Univ Oviedo, Sequencing Unit, Biotech &amp; Biomed Testing Sci Tech Serv, Oviedo 33006, Spain; [Fernandez-Rueda, M. P.; Garcia-Florez, L.] Reg Minist Rural Dev &amp; Nat Resources Principal As, CEP Fisheries Experimentat Ctr, Directorate Gen Maritime Fisheries DGPM, Gijon Xixon 33212, Spain; [Marquez, I.] SERIDA, Anim Hlth Area, Gijon Xixon 33394, Spain; [Dopico, E.] Univ Oviedo, Dept Educ Sci, Oviedo 33005, Spain</t>
  </si>
  <si>
    <t>University of Oviedo; University of Oviedo; Servicio Regional de Investigacion y Desarrollo Agroalimentario; University of Oviedo</t>
  </si>
  <si>
    <t>Borrell, YJ (corresponding author), Univ Oviedo, Dept Funct Biol, Genet, Oviedo 33006, Spain.</t>
  </si>
  <si>
    <t>borrellyaisel@uniovi.es</t>
  </si>
  <si>
    <t>project ECOSIFOOD [MCI-20-PID2019-108481RB-I00]; FPU program of the Spanish Ministry of Science, Innovation and Universities [MU-21-FPU20/06628]; Erasmus + program of the European Union; [GRUPIN-AYUD/2021/50967]</t>
  </si>
  <si>
    <t>project ECOSIFOOD; FPU program of the Spanish Ministry of Science, Innovation and Universities(Spanish Government); Erasmus + program of the European Union(Erasmus+);</t>
  </si>
  <si>
    <t>This research was funded by the project ECOSIFOOD (MCI-20-PID2019-108481RB-I00/AEI/10.13039/501100011033) and GRUPIN-AYUD/2021/50967. Romero-Bascones A. was funded by the FPU program of the Spanish Ministry of Science, Innovation and Universities (MU-21-FPU20/06628). This work was partially developed in a Master Thesis presented by Pirhadi, N. and the Professional Practices conducted by R. Thoppil in the IMBRSea Master Program (imbrsea.eu) with the support of the Erasmus + program of the European Union. This is a contribution of the Marine Observatory of Asturias (OMA) and the Biotechnology Institute of Asturias (IUBA).</t>
  </si>
  <si>
    <t>FEB 15</t>
  </si>
  <si>
    <t>10.1038/s41598-023-29463-6</t>
  </si>
  <si>
    <t>WOS:001012758100040</t>
  </si>
  <si>
    <t>Duarte, B; Mamede, R; Duarte, IA; Caçador, I; Reis-Santos, P; Vasconcelos, RP; Gameiro, C; Rosa, R; Tanner, SE; Fonseca, VF</t>
  </si>
  <si>
    <t>Duarte, Bernardo; Mamede, Renato; Duarte, Irina A.; Cacador, Isabel; Reis-Santos, Patrick; Vasconcelos, Rita P.; Gameiro, Carla; Rosa, Rui; Tanner, Susanne E.; Fonseca, Vanessa F.</t>
  </si>
  <si>
    <t>Elemental and spectral chemometric analyses of Octopus vulgaris beaks as reliable markers of capture location</t>
  </si>
  <si>
    <t>JOURNAL OF FOOD SCIENCE</t>
  </si>
  <si>
    <t>cephalopod; chemometrics; multi-elemental signature; provenance; seafood safety; tag; traceability</t>
  </si>
  <si>
    <t>INFRARED-SPECTROSCOPY; BIOCHEMICAL-COMPOSITION; GEOGRAPHICAL ORIGIN; STABLE-ISOTOPE; OLIVE OILS; TRACEABILITY; SEAFOOD; CLASSIFICATION; FISH; XRF</t>
  </si>
  <si>
    <t>The high demand and economic relevance of cephalopods make them prone to food fraud, including related to harvest location. Therefore, there is a growing need to develop tools to unequivocally confirm their capture location. Cephalopod beaks are nonedible, making this material ideal for traceability studies as it can also be removed without a loss of commodity economic value. Within this context, common octopus (Octopus vulgaris) specimens were captured in five fishing areas along the Portuguese coast. Untargeted multi-elemental total X-ray fluorescence analysis of the octopus beaks revealed a high abundance of Ca, Cl, K, Na, S, and P, concomitant with the keratin and calcium phosphate nature of the material. We tested a suite of discrimination models on both elemental and spectral data, where the elements contributing most to discriminate capture location were typically associated with diet (As), human-related pressures (Zn, Se, and Mn), or geological features (P, S, Mn, and Zn). Among the six different chemometrics approaches used to classify individuals to their capture location according to their beaks' element concentration, classification trees attained a classification accuracy of 76.7%, whilst reducing the number of explanatory variables for sample classification and highlighting variable importance for group discrimination. However, using X-ray spectral features of the octopus beaks further improved classification accuracy, with the highest classification of 87.3% found with partial least-squares discriminant analysis. Ultimately, element and spectral analyses of nonedible structures such as octopus beaks can provide an important, complementary, and easily accessible means to support seafood provenance and traceability, whilst integrating anthropogenic and/or geological gradients.</t>
  </si>
  <si>
    <t>[Duarte, Bernardo; Mamede, Renato; Duarte, Irina A.; Cacador, Isabel; Tanner, Susanne E.; Fonseca, Vanessa F.] Univ Lisbon, MARE Marine &amp; Environm Sci Ctr, Lisbon, Portugal; [Duarte, Bernardo; Mamede, Renato; Duarte, Irina A.; Cacador, Isabel; Tanner, Susanne E.; Fonseca, Vanessa F.] Univ Lisbon, ARNET Aquat Res Network Associated Lab, Fac Ciencias, Lisbon, Portugal; [Cacador, Isabel] Univ Lisbon, Fac Ciencias, Dept Biol Vegetal, Lisbon, Portugal; [Reis-Santos, Patrick] Univ Adelaide, Sch Biol Sci, Southern Seas Ecol Labs, Adelaide, SA, Australia; [Vasconcelos, Rita P.; Gameiro, Carla] IPMA Inst Portugues Mar &amp; Atmosfera, Alges, Portugal; [Rosa, Rui] Univ Lisbon, MARE Marine &amp; Environm Sci Ctr, Lab Maritimo Guia, Fac Ciencias, Cascais, Portugal; [Tanner, Susanne E.; Fonseca, Vanessa F.] Univ Lisbon, ARNET Aquat Res Network Associated Lab, Fac Ciencias, Cascais, Portugal; [Tanner, Susanne E.; Fonseca, Vanessa F.] Univ Lisbon, Fac Ciencias, Dept Biol Anim, Lisbon, Portugal</t>
  </si>
  <si>
    <t>Universidade de Lisboa; Universidade de Lisboa; Universidade de Lisboa; Adelaide University; University of Adelaide; Instituto Portugues do Mar e da Atmosfera; Universidade de Lisboa; Universidade de Lisboa; Universidade de Lisboa</t>
  </si>
  <si>
    <t>Duarte, B (corresponding author), Univ Lisbon, MARE Marine &amp; Environm Sci Ctr, Lisbon, Portugal.;Duarte, B (corresponding author), Univ Lisbon, ARNET Aquat Res Network Associated Lab, Fac Ciencias, Lisbon, Portugal.</t>
  </si>
  <si>
    <t>baduarte@fc.ul.pt</t>
  </si>
  <si>
    <t>Fundacao para a Ciencia e a Tecnologia (FCT) [CEECIND/00511/2017, 2021.02710.CEECIND, 2021.00244.CEECIND]; Marine and Environmental Sciences Centre; Aquatic Research Network Associated Laboratory [UIDB/04292/2020, UIDP/04292/2020]; MAR2020 program via the Projects MarCODE [LA/P/0069/2020]; Programa Nacional de Amostragem Biologica [MAR-01.03.01-FEAMP-0047]</t>
  </si>
  <si>
    <t>Fundacao para a Ciencia e a Tecnologia (FCT)(Fundacao para a Ciencia e a Tecnologia (FCT)); Marine and Environmental Sciences Centre; Aquatic Research Network Associated Laboratory; MAR2020 program via the Projects MarCODE; Programa Nacional de Amostragem Biologica</t>
  </si>
  <si>
    <t>B. Duarte, S.E. Tanner and V. Fonseca were supported by research contracts, Grant/Award Numbers: CEECIND/00511/2017, 2021.02710.CEECIND, 2021.00244.CEECIND; Fundacao para a Ciencia e a Tecnologia (FCT) for funding; Marine and Environmental Sciences Centre, Grant/Award Numbers: UIDB/04292/2020, UIDP/04292/2020; Aquatic Research Network Associated Laboratory, Grant/Award Number: LA/P/0069/2020; Work was also funded by MAR2020 program via the Projects MarCODE, Grant/Award Number: MAR-01.03.01-FEAMP-0047; Programa Nacional de Amostragem Biologica</t>
  </si>
  <si>
    <t>10.1111/1750-3841.16492</t>
  </si>
  <si>
    <t>FEB 2023</t>
  </si>
  <si>
    <t>WOS:000933468900001</t>
  </si>
  <si>
    <t>Vizcaíno, R; Guardiola, FA; Prado-Alvarez, M; Machado, M; Costas, B; Gestal, C</t>
  </si>
  <si>
    <t>Vizcaino, Raquel; Guardiola, Francisco A.; Prado-Alvarez, M.; Machado, Marina; Costas, Benjamin; Gestal, Camino</t>
  </si>
  <si>
    <t>Functional and molecular immune responses in Octopus vulgaris skin mucus and haemolymph under stressful conditions</t>
  </si>
  <si>
    <t>Skin mucus; Mucosal immunity; Haemocytes; Biomarkers; Common octopus ( Octopus vulgaris )</t>
  </si>
  <si>
    <t>PARAMETERS; CHALLENGE; PROTEINS; FISH; NEUROENDOCRINE; INVERTEBRATES; CEPHALOPODS; LYSOZYME; ENZYMES; SYSTEM</t>
  </si>
  <si>
    <t>The common octopus (Octopus vulgaris) is a cephalopod species with a high economic market value, hence one of the species in spotlight to be reared in aquaculture. The increasing importance of animal welfare has ethical considerations and also implications for improving quality standards. Unfortunately, defence mechanisms in cephalopods are largely unexplored and a comprehensive insight on cephalopod physiological and immune responses in relation to stress becomes particularly prominent. Therefore, the aim of the present study was to gather deeper insights on functional and molecular stress biomarkers in the common octopus. For this purpose, adult individuals were exposed to a stressful condition by limiting movements in the aquarium for 17 days. Innate immune parameters were assessed in skin mucus and plasma samples whereas the expression level of genes coding for antioxidant enzymes, related to immune functions, or involved in folding proteins was analysed in haemocytes at several sampling times. Our results indicated that most of the innate immune parameters measured (haemolytic, lysozyme, esterase, peroxidase, and protease activities) in skin mucus showed substantial variations at middle term of experiment (i.e., 11 days). After 11 days of movement limitations, the haemolytic and protease activities decreased in the octopus plasma. At the transcriptional level, lyz, hsp90 and ire1 gene expression values were particularly down-regulated while C1-like, prdx and sod transcripts showed up-regulation over an early stage (i.e., 5 days) in haemocytes from octopuses under stressful conditions. Moreover, C1-like, prdx and sod mRNA expression decreased at 11 and 17 days whereas lyz and hsp90 gene expression level augmented at 11 days in exposed octopus compared to unexposed specimens, with the subsequent increase at plasma and skin mucus level at long term. Overall, results from the present study showed potential functional and molecular biomarkers which could be of assistance in studies comprising stressful conditions in the common octopus. Moreover, biomarkers from skin mucus could also be considered as a low-invasive approach to assess and improve cephalopods welfare.</t>
  </si>
  <si>
    <t>[Vizcaino, Raquel; Prado-Alvarez, M.; Gestal, Camino] CSIC, Inst Invest Marinas, Eduardo Cabello 6, Vigo 36208, Spain; [Vizcaino, Raquel; Guardiola, Francisco A.; Machado, Marina; Costas, Benjamin] Univ Porto, Ctr Interdisciplinar Invest Marinha &amp; Ambiental CI, Terminal Cruzeiros Porto Leixoes, Ave Gen Norton Matos s-n, P-4450208 Porto, Portugal; [Machado, Marina; Costas, Benjamin] Univ Porto, Inst Ciencias Biomed Abel Salazar ICBAS UP, Rua Jorge Viterbo Ferreira 228, P-4050313 Porto, Portugal; [Guardiola, Francisco A.] Univ Murcia, Fac Biol, Dept Cell Biol &amp; Histol, Immunobiol Aquaculture Grp, Campus Reg Excelencia Int Campus Mare Nostrum, Murcia 30100, Spain</t>
  </si>
  <si>
    <t>Consejo Superior de Investigaciones Cientificas (CSIC); CSIC - Instituto de Investigaciones Marinas (IIM); Universidade do Porto; Universidade do Porto; University of Murcia</t>
  </si>
  <si>
    <t>Gestal, C (corresponding author), CSIC, Inst Invest Marinas, Eduardo Cabello 6, Vigo 36208, Spain.</t>
  </si>
  <si>
    <t>Spanish Ministerio de Economia y Competitividad [AGL20134910-C02-2R]; Spanish Ministerio de Ciencia e Innovacion [UIDB/04423/2020]; Fundacao para a Ciencia e Tecnologia (FCT) , Portugal [SFRH/BD/108243/2015, PID2020-119906GB-I00, UIDP/04423/2020]; FCT; [SFRH/BPD/104497/2014]; [2020.00290.CEECIND]</t>
  </si>
  <si>
    <t>Spanish Ministerio de Economia y Competitividad(Spanish Government); Spanish Ministerio de Ciencia e Innovacion(Instituto de Salud Carlos IIISpanish Government); Fundacao para a Ciencia e Tecnologia (FCT) , Portugal(Fundacao para a Ciencia e a Tecnologia (FCT)); FCT(Fundacao para a Ciencia e a Tecnologia (FCT)); ;</t>
  </si>
  <si>
    <t>This work was funded by AGL20134910-C02-2R and PID2020-119906GB-I00 research projects from the Spanish Ministerio de Economia y Competitividad and Spanish Ministerio de Ciencia e Innovacion, respectively. F.A. Guardiola, M. Machado and B. Costas were supported by Fundacao para a Ciencia e Tecnologia (FCT) , Portugal (SFRH/BPD/104497/2014, SFRH/BD/108243/2015 and 2020.00290.CEECIND, respectively) . This research was also supported by national funds through FCT within the scope of UIDB/04423/2020 and UIDP/04423/2020.</t>
  </si>
  <si>
    <t>10.1016/j.aqrep.2023.101484</t>
  </si>
  <si>
    <t>WOS:000930538400001</t>
  </si>
  <si>
    <t>Fee, GN; Mather, J; Landschoff, J; Griffiths, CL</t>
  </si>
  <si>
    <t>Fee, Gareth N.; Mather, Jennifer; Landschoff, Jannes; Griffiths, Charles L.</t>
  </si>
  <si>
    <t>Finding the sweet spot: drilling precision on shelled molluscs by Octopus vulgaris type III in False Bay, South Africa</t>
  </si>
  <si>
    <t>Octopus vulgaris type III; Predation; Behaviour; Abalone; Limpet; Gastropod snail; Drilling precision</t>
  </si>
  <si>
    <t>BIVALVE PREY; CEPHALOPODA; LOCALIZATION; PREDATION; SELECTION; BEHAVIOR</t>
  </si>
  <si>
    <t>Octopus vulgaris type III preys upon molluscs by drilling a hole in the shell, through which it injects venom, weakening the muscles and allowing the octopus to remove and eat the mollusc flesh. In False Bay, South Africa, the abalone Haliotis midae, the kelp limpet Cymbula compressa and the helmet snail Semicassis zeylanica, are all common octopus prey, but each has a very different shell morphology and underlying anatomy. It is hypothesized that O. vulgaris type III targets the muscle attachment site of all three species and that the precision of drilling should correlate with the relative size of these muscle attachment sites. Measurements of the locations of drill holes from collected shells of each species showed that drilling locations were significantly non-random. In the abalone and limpet, the muscle attachment site was targeted two and 4.5 times more frequently than expected, respectively. Octopus vulgaris type III drilled helmet snails with extreme precision, with over half the holes drilled on the spire at an angle of 45 &amp; DEG; and 90 &amp; DEG; from the lip. Kernel density heat maps demonstrated that octopus drilled abalone with low precision, limpets with medium precision and helmet snails with high precision. The reason for the high precision in the helmet snail remains speculative, as the main drilling location did not align with the columellar muscle attachment and no target could be defined. This study is the first to assess octopus drilling in temperate southern Africa and to compare drilling precision across different prey species.</t>
  </si>
  <si>
    <t>[Fee, Gareth N.; Griffiths, Charles L.] Univ Cape Town, Dept Biol Sci, Cape Town, South Africa; [Fee, Gareth N.; Landschoff, Jannes] Sea Change Trust, Cape Town, South Africa; [Mather, Jennifer] Univ Lethbridge, Dept Psychol, Lethbridge, AB, Canada</t>
  </si>
  <si>
    <t>University of Cape Town; University of Lethbridge</t>
  </si>
  <si>
    <t>Fee, GN (corresponding author), Univ Cape Town, Dept Biol Sci, Cape Town, South Africa.;Fee, GN (corresponding author), Sea Change Trust, Cape Town, South Africa.</t>
  </si>
  <si>
    <t>fxxgar002@myuct.ac.za</t>
  </si>
  <si>
    <t>10.1007/s00227-022-04152-6</t>
  </si>
  <si>
    <t>WOS:000922196500001</t>
  </si>
  <si>
    <t>Shahabi, E; Visentin, F; Mondini, A; Mazzolai, B</t>
  </si>
  <si>
    <t>Shahabi, Ebrahim; Visentin, Francesco; Mondini, Alessio; Mazzolai, Barbara</t>
  </si>
  <si>
    <t>Octopus-Inspired Suction Cups with Embedded Strain Sensors for Object Recognition</t>
  </si>
  <si>
    <t>ADVANCED INTELLIGENT SYSTEMS</t>
  </si>
  <si>
    <t>artificial suction cups; machine learning; soft robotics; soft sensors; stiffness classifications</t>
  </si>
  <si>
    <t>ADHESION ACTUATOR; TACTILE SENSOR; SOFT</t>
  </si>
  <si>
    <t>The octopus has unique capacities are sources of inspiration in developing soft robotic-enabling technologies. Herein, soft, sensorized, suction cups inspired by the suckers of Octopus vulgaris are presented. The suction cups using direct casting are fabricated, so that materials with different mechanical properties can be combined to optimize sensing and grasping capabilities. The artificial suckers integrate four embedded strain sensors, individually characterized and placed in a 90 degrees configuration along the rim of the suction cup. Based on this arrangement, how well the sensory suction cup can detect 1) the direction and 2) the angle (from 30 degrees to 90 degrees) of a touched inclined surface and 3) the stiffness of a touched flat object (shore hardness between 0010 and D50) both in air and underwater is evaluated. Data processing on neural networks is based using a multilayer perceptron to perform regression on individual properties. The results show a mean absolute error of 0.98 for angles, 0.02 for directions, and 97.9% and 93.5% of accuracy for the material classification in air and underwater, respectively. In view of the results and scalability in manufacturing, the proposed artificial suckers would seem to be highly effective solutions for soft robotics, including blind exploration and object recognition.</t>
  </si>
  <si>
    <t>[Shahabi, Ebrahim] Scuola Super Sant Anna, Biorobot Inst, I-56025 Pontedera, PI, Italy; [Shahabi, Ebrahim; Visentin, Francesco; Mondini, Alessio; Mazzolai, Barbara] Ist Italiano Tecnol, Bioinspired Soft Robot Lab, I-16163 Genoa, GE, Italy; [Visentin, Francesco] Univ Verona, I-37134 Verona, VR, Italy</t>
  </si>
  <si>
    <t>Scuola Superiore Sant'Anna; Istituto Italiano di Tecnologia - IIT; University of Verona</t>
  </si>
  <si>
    <t>Shahabi, E (corresponding author), Scuola Super Sant Anna, Biorobot Inst, I-56025 Pontedera, PI, Italy.;Shahabi, E; Mazzolai, B (corresponding author), Ist Italiano Tecnol, Bioinspired Soft Robot Lab, I-16163 Genoa, GE, Italy.</t>
  </si>
  <si>
    <t>ebrahim.shahabishalghouni@iit.it; barbara.mazzolai@iit.it</t>
  </si>
  <si>
    <t>10.1002/aisy.202200201</t>
  </si>
  <si>
    <t>JAN 2023</t>
  </si>
  <si>
    <t>Automation &amp; Control Systems; Computer Science, Artificial Intelligence; Robotics</t>
  </si>
  <si>
    <t>Automation &amp; Control Systems; Computer Science; Robotics</t>
  </si>
  <si>
    <t>WOS:000913668800001</t>
  </si>
  <si>
    <t>Bello, G; Bentivegna, F; Travaglini, A</t>
  </si>
  <si>
    <t>Bello, Giambattista; Bentivegna, Flegra; Travaglini, Andrea</t>
  </si>
  <si>
    <t>Cephalopods preyed on by loggerhead turtles, Caretta caretta (Reptilia: Cheloniidae), from the eastern Tyrrhenian Sea</t>
  </si>
  <si>
    <t>ACTA ADRIATICA</t>
  </si>
  <si>
    <t>Mollusca; Cephalopoda; Reptilia; Chelonidae; feeding ecology; Mediterranean Sea</t>
  </si>
  <si>
    <t>TURTLE CARETTA-CARETTA; FEEDING ECOLOGY; LIFE-HISTORY; HISTIOTEUTHIDAE</t>
  </si>
  <si>
    <t>This study presents the results of the examination of cephalopod remains extracted from the digestive tract of 40 loggerhead turtles, Caretta caretta, stranded along the Campanian coasts (Southern Italy, eastern Tyrrhenian Sea). We retrieved the remains of 23 cephalopods from 16 turtles (frequency of occurrence = 40%). They belonged to Sepia officinalis (19 specimens) and Octopus vulgaris (2 specimens), both of them benthic neritic species, and Histioteuthis reversa (2 specimens), an oceanic species. Accordingly, loggerheads appear to feed both on the bottom, seemingly in shallow waters, and in the open seawater column; both on muscular items (S. officinalis and O. vulgaris) and ammoniacal ones (H. reversa). This is the first record of H. reversa as a prey of the loggerhead turtle.</t>
  </si>
  <si>
    <t>[Bello, Giambattista] Via Valadier 1, I-70010 Casamassima, BA, Italy; [Bentivegna, Flegra] Via Gino Doria 78, I-80128 Naples, Italy; [Travaglini, Andrea] Stn Zool Anton Dohrn, Dept Marine Anim Conservat &amp; Publ Engagement, Naples, Italy</t>
  </si>
  <si>
    <t>Bello, G (corresponding author), Via Valadier 1, I-70010 Casamassima, BA, Italy.</t>
  </si>
  <si>
    <t>giamb.bello@gmail.com</t>
  </si>
  <si>
    <t>10.32582/aa.64.2.2</t>
  </si>
  <si>
    <t>WOS:001155247700008</t>
  </si>
  <si>
    <t>White, DM; Valsamidis, MA; Kokkoris, GD; Bakopoulos, V</t>
  </si>
  <si>
    <t>White, Daniella-Mari; Valsamidis, Michail-Aggelos; Kokkoris, Georgios D.; Bakopoulos, Vasileios</t>
  </si>
  <si>
    <t>The effect of temperature and challenge route on in vitro hemocyte phagocytosis activation after experimental challenge of common octopus, Octopus vulgaris (Cuvier, 1797) with either Photobacterium damselae subsp. damselae or Vibrio anguillarum O1</t>
  </si>
  <si>
    <t>MICROBIAL PATHOGENESIS</t>
  </si>
  <si>
    <t>Octopus vulgaris; Phagocytosis; Hemocyte activation; Photobacterium damselae subsp; damselae; Vibrio anguillarum O1</t>
  </si>
  <si>
    <t>ONCORHYNCHUS-MYKISS WALBAUM; CRASSOSTREA-VIRGINICA; RAINBOW-TROUT; RUDITAPES-PHILIPPINARUM; VIRULENCE FACTORS; EASTERN OYSTERS; FISH PATHOGEN; MYTILUS-GALLOPROVINCIALIS; BIOMPHALARIA-GLABRATA; IMMUNE-SYSTEM</t>
  </si>
  <si>
    <t>Infectious diseases in aquaculture could be associated with high mortalities and morbidity rates, resulting in negative impacts to fish farming industry, consumers, and the environment. Octopods are reared near marine fish farming areas, and this may represent a major risk since fish pathogens may cause pathologies to octopods. Up to date cephalopods immune defense and pathologies, are incompletely understood. Therefore, the aim of this study was to determine the effect of water temperature and challenge route on hemocyte phagocytosis in vitro after experimental challenge of common octopus with Photobacterium damselae subsp. damselae or Vibrio anguillarum O1. Hemolymph was withdrawn at various time-points post-challenge and the number of circulating hemocytes, and phagocytosis ability were determined. No mortalities were recorded irrespective of pathogen, route of challenge and temperature employed. Great variation was observed in the number of circulating hemocytes of both control and challenged specimens in both experiments (1.04 x 105 to 22.33 x 105 hemocytes/ml for the Photobacterium damselae subsp. damselae challenge and 1.35 x 105 to 24.63 x 105 hemocytes/ml for the Vibrio anguillarum O1 and at both studied temperatures). No correlation was found between circulating hemocytes and baseline control specimens body weight. Probably, the number of circulating hemocytes is affected by many extrinsic, and intrinsic factors such as size, age, maturity stage, natural fluctuations and temperature, as indi-cated in the literature.The hemocyte foreign particles binding ability observed in Photobacterium damselae subsp. damselae experi-ments, at 21 +/- 0.5 degrees C and 24 +/- 0.5 degrees C, was (mean +/- SD) 2.26 +/- 2.96 and 11.72 +/- 12.36 yeast cells/hemocyte for baseline specimens and 7.84 +/- 8.88 and 8.56 +/- 9.89 yeast cells/hemocyte for control and challenged specimens, respectively. The corresponding values for Vibrio anguillarum O1 experiments were (mean +/- SD) 6.68 +/- 9.26 and 7.00 +/- 8.11 yeast cells/hemocyte for baseline specimens and 8.82 +/- 9.75 and 6.04 +/- 7.64 yeast cells/hemocyte for control and challenged specimens, respectively.Hemocytes of the Photobacterium damselae subsp. damselae and Vibrio anguillarum O1 challenged specimens, were more activated at lower temperature. Apparently, temperature is an important factor in hemocyte acti-vation. In addition, our results indicated that time post challenge, route of challenge and pathogen may influence phagocytosis ability.</t>
  </si>
  <si>
    <t>[White, Daniella-Mari; Valsamidis, Michail-Aggelos; Kokkoris, Georgios D.; Bakopoulos, Vasileios] Univ Aegean, Sch Environm, Dept Marine Sci, Mitilini 81100, Lesvos, Greece</t>
  </si>
  <si>
    <t>White, DM (corresponding author), Univ Aegean, Sch Environm, Dept Marine Sci, Mitilini 81100, Lesvos, Greece.</t>
  </si>
  <si>
    <t>European Union (European Social Fund- ESF) - Operational Programme Competitiveness, Entrepreneurship and Innovation (NSRF); European Union (European Regional Development Fund); [MIS 5004276]; [MIS 5002670]</t>
  </si>
  <si>
    <t>European Union (European Social Fund- ESF) - Operational Programme Competitiveness, Entrepreneurship and Innovation (NSRF); European Union (European Regional Development Fund)(European Union (EU)); ;</t>
  </si>
  <si>
    <t>This research is co-financed by Greece and the European Union (European Social Fund- ESF) through the Operational Programme ? Human Resources Development, Education and Lifelong Learning 2014-2020? in the context of the project ?Effect of climate change on the infectiousness of pathogenic microorganisms and the physiology of sensitive host aquatic organisms? (MIS 5004276) . We acknowledge support of this work by the project ?Centre for study and sustainable exploitation of Marine Biological Resources (CMBR) ? (MIS 5002670) which is implemented under the Action ?Reinforcement of the Research and Innovation Infrastructure?, funded by the Operational Programme Competitiveness, Entrepreneurship and Innovation (NSRF 2014-2020) and co-financed by Greece and the European Union (Eu- ropean Regional Development Fund) .</t>
  </si>
  <si>
    <t>10.1016/j.micpath.2022.105955</t>
  </si>
  <si>
    <t>DEC 2022</t>
  </si>
  <si>
    <t>Immunology; Microbiology</t>
  </si>
  <si>
    <t>WOS:000917455700001</t>
  </si>
  <si>
    <t>Rodrigues, ET; Coelho, JP; Pereira, E; Pardal, MA</t>
  </si>
  <si>
    <t>Rodrigues, Elsa T.; Coelho, Joao P.; Pereira, Eduarda; Pardal, Miguel A.</t>
  </si>
  <si>
    <t>Are mercury levels in fishery products appropriate to ensure low risk to high fish-consumption populations?</t>
  </si>
  <si>
    <t>Mercury content in seafood; Methylmercury; Culinary treatments; Food quality; Health risk</t>
  </si>
  <si>
    <t>METHYL-MERCURY; METHYLMERCURY; BIOACCESSIBILITY; SELENIUM; RAW; INFORMATION</t>
  </si>
  <si>
    <t>The main goal of the present study is to determine the sources of methylmercury (MeHg) for high fish -consumption populations with the Portuguese population as showcase, as Portugal is the EU country with the highest fish consumption per capita (2019: 59.91 kg year-1). Since limited information is available on the effective levels of mercury after culinary treatments, cooked and raw codfish (Gadus morhua), hake (Merluccius merluccius), octopus (Octopus vulgaris), horse mackerel (Trachurus trachurus) and sardine (Sardina pilchardus) were considered. The mercury concentration ranking Hake &gt; Horse mackerel &gt; Codfish &gt; Octopus &gt; Sardine was observed in all situations (cooked and raw samples) for both MeHg and total mercury (T-Hg). The gathered results reinforce the general assumption that the loss of moisture during cooking increases MeHg and T-Hg concentrations in fish, but the idea that MeHg in fish muscle tissue represents the bulk of T-Hg cannot be generalised, as our study determined a MeHg/T-Hg ratio of 0.43 for grilled sardines.</t>
  </si>
  <si>
    <t>[Rodrigues, Elsa T.; Pardal, Miguel A.] Univ Coimbra, Ctr Funct Ecol, Dept Life Sci, Calcada Martim Freitas, P-3000456 Coimbra, Portugal; [Coelho, Joao P.] Univ Aveiro, Dept Biol, CESAM, ECOMARE, P-3810193 Aveiro, Portugal; [Pereira, Eduarda] Univ Aveiro, Dept Chem, CESAM, REQUIMTE, P-3810193 Aveiro, Portugal</t>
  </si>
  <si>
    <t>Universidade de Coimbra; Universidade de Aveiro; Universidade de Aveiro</t>
  </si>
  <si>
    <t>Rodrigues, ET (corresponding author), Univ Coimbra, Ctr Funct Ecol, Dept Life Sci, Calcada Martim Freitas, P-3000456 Coimbra, Portugal.</t>
  </si>
  <si>
    <t>etrodrig@uc.pt; jpcoelho@ua.pt; eduper@ua.pt; mpardal@uc.pt</t>
  </si>
  <si>
    <t>Portuguese Foundation for Science and Technology [CEECIND/03543/2017, CEECIND/01778/2020]; PT2020 Partnership Agreement; COMPETE 2020 by the Centre for Functional Ecology [UIDB/04004/2020, LA/P/0092/2020]; COMPETE 2020 by CESAM [UIDP/50017/2020, UIDB/50017/2020, LA/P/0094/2020]</t>
  </si>
  <si>
    <t>Portuguese Foundation for Science and Technology(Fundacao para a Ciencia e a Tecnologia (FCT)); PT2020 Partnership Agreement; COMPETE 2020 by the Centre for Functional Ecology; COMPETE 2020 by CESAM</t>
  </si>
  <si>
    <t>The Portuguese Foundation for Science and Technology supported the present study through national funds under the scope of the Programme to stimulate scientific employment - individual support, which were attributed to Elsa T Rodrigues (CEECIND/03543/2017) and Joao P Coelho (CEECIND/01778/2020). This study was also supported through the PT2020 Partnership Agreement and COMPETE 2020 by the Centre for Functional Ecology (UIDB/04004/2020, LA/P/0092/2020) and CESAM (UIDP/50017/2020, UIDB/50017/2020, LA/P/0094/2020) Strategic Projects.</t>
  </si>
  <si>
    <t>10.1016/j.marpolbul.2022.114464</t>
  </si>
  <si>
    <t>WOS:000899353900001</t>
  </si>
  <si>
    <t>Learoussy, HY; Tfeil, H; Mahmoud-Hamed, MSE; Dartige, A; Fakhaoui, M; Aarab, L</t>
  </si>
  <si>
    <t>Learoussy, Hana Youssef; Tfeil, Hasni; Mahmoud-Hamed, Mohamed Salem El; Dartige, Aly; Fakhaoui, Mohamed; Aarab, Lotfi</t>
  </si>
  <si>
    <t>Assessment of the potential health risks associated with six trace elements in halieutic products from the Mauritanian Atlantic coast</t>
  </si>
  <si>
    <t>JOURNAL OF TRACE ELEMENTS AND MINERALS</t>
  </si>
  <si>
    <t>Halieutic product; Hazard index; Trace elements; Mauritanian Atlantic coast; Target Hazard Quotient</t>
  </si>
  <si>
    <t>HEAVY-METALS; MUGIL-CEPHALUS; FISH; CADMIUM; MERCURY; PB</t>
  </si>
  <si>
    <t>Background: Halieutic products are consumed widely and literature showed that they may be a major source of human exposure to various environmental contaminants such as trace elements. Mauritanian Atlantic coast is an importing fishing area, which is under anthropogenic pressure that could pollute the area. Our study focused on the determination of six trace elements (Cd; Hg; Pb; Cu; Fe and Zn) in the muscle of most consumed and worldwide-commercialized halieutic products ( Sardinella aurita; Sardinella maderensis; Trachurus trachurus; Dentex angolensis; Mugil cephalus and Octopus vulgaris). Samples were collected from two sites with important anthropogenic activities (Nouakchott and Nouadhibou coast). Methods: The presence of cadmium, lead, copper, iron and zinc was proceeded using ICP-OES technique, while the determination of mercury was carried out with a Direct Mercury Analyzer. Results: Lead was not detected in samples from Nouakchott coast; however, it was detected in two from five samples of O. vulgaris species collected from the Nouadhibou coast. Cd; Hg and Pb concentrations in all species were under the maximum residue level fixed by the European Commission regulation. The highest mean content of cadmium (0.06 mg kg-1) was detected in O. vulgaris and for mercury in S. maderensis (0.11 mg kg-1). The highest mean value of copper (10.91 mg kg-1) was obtained with M. cephalus whereas the highest of iron (229.10 mg kg-1) and zinc (11.28 mg kg-1) were found with S. aurita and T. trachurus respectively. To evaluate the potential health risks linked to the consumption of the studied fish product; the Target Hazard Quotient (THQ) and the Hazard Index (HI) set by the US Environmental Protection Agency were used to estimate the non-carcinogenic risks. Results showed that S. aurita; S. maderensis; T. trachurus and D. angolensis have THQ and HI values that are under the tolerated limit. Conclusion: Results of the current study indicate that the examined halieutic product from the Nouakchott and Nouadhibou coast have accepted concentrations of non-essential trace elements according to the limits set by the European Commission regulation. As regards the estimation of potential health risks, calculation showed no risk related to the consumption of the studied species in children and adults.</t>
  </si>
  <si>
    <t>[Learoussy, Hana Youssef; Tfeil, Hasni; Aarab, Lotfi] Sidi Mohammed Ben Abdellah Univ, Fac Sci &amp; Technol, Lab Microbial Biotechnol &amp; Bioact Mol, 2202 Rd Imouzzer, Fes, Morocco; [Learoussy, Hana Youssef; Tfeil, Hasni; Mahmoud-Hamed, Mohamed Salem El; Dartige, Aly] Natl Off Sanit Inspect Fisheries &amp; Aquaculture Pro, Nouadhibou 1416, Mauritania; [Tfeil, Hasni; Fakhaoui, Mohamed] Mohammed V Univ, GEOPAC Ctr, Sci Inst, Rabat, Morocco</t>
  </si>
  <si>
    <t>Sidi Mohamed Ben Abdellah University of Fez; Mohammed V University in Rabat</t>
  </si>
  <si>
    <t>Learoussy, HY (corresponding author), Sidi Mohammed Ben Abdellah Univ, Fac Sci &amp; Technol, Lab Microbial Biotechnol &amp; Bioact Mol, 2202 Rd Imouzzer, Fes, Morocco.</t>
  </si>
  <si>
    <t>hena-net@live.fr</t>
  </si>
  <si>
    <t>10.1016/j.jtemin.2022.100032</t>
  </si>
  <si>
    <t>Environmental Sciences</t>
  </si>
  <si>
    <t>Environmental Sciences &amp; Ecology</t>
  </si>
  <si>
    <t>WOS:001634505300033</t>
  </si>
  <si>
    <t>Styfhals, R; Zolotarov, G; Hulselmans, G; Spanier, KI; Poovathingal, S; Elagoz, AM; De Winter, S; Deryckere, A; Rajewsky, N; Ponte, G; Fiorito, G; Aerts, S; Seuntjens, E</t>
  </si>
  <si>
    <t>Styfhals, Ruth; Zolotarov, Grygoriy; Hulselmans, Gert; Spanier, Katina I.; Poovathingal, Suresh; Elagoz, Ali M.; De Winter, Seppe; Deryckere, Astrid; Rajewsky, Nikolaus; Ponte, Giovanna; Fiorito, Graziano; Aerts, Stein; Seuntjens, Eve</t>
  </si>
  <si>
    <t>Cell type diversity in a developing octopus brain</t>
  </si>
  <si>
    <t>NATURE COMMUNICATIONS</t>
  </si>
  <si>
    <t>CEPHALOPOD MOLLUSK; MUSHROOM BODIES; NERVOUS-SYSTEM; DIFFERENTIATION; MEMORY; EXPRESSION; GENE; NEUROPEPTIDES; SPECIFICATION; EVOLUTION</t>
  </si>
  <si>
    <t>Octopuses are mollusks that have evolved intricate neural systems comparable with vertebrates in terms of cell number, complexity and size. The brain cell types that control their sophisticated behavioral repertoire are still unknown. Here, we profile the cell diversity of the paralarval Octopus vulgaris brain to build a cell type atlas that comprises mostly neural cells, but also multiple glial subtypes, endothelial cells and fibroblasts. We spatially map cell types to the vertical, subesophageal and optic lobes. Investigation of cell type conservation reveals a shared gene signature between glial cells of mouse, fly and octopus. Genes related to learning and memory are enriched in vertical lobe cells, which show molecular similarities with Kenyon cells in Drosophila. We construct a cell type taxonomy revealing transcriptionally related cell types, which tend to appear in the same brain region. Together, our data sheds light on cell type diversity and evolution in the octopus brain.</t>
  </si>
  <si>
    <t>[Styfhals, Ruth; Elagoz, Ali M.; Deryckere, Astrid; Seuntjens, Eve] Katholieke Univ Leuven, Lab Dev Neurobiol, Dept Biol, Leuven, Belgium; [Styfhals, Ruth; Ponte, Giovanna; Fiorito, Graziano] Staz Zool Anton Dohrn, Dept Biol &amp; Evolut Marine Organisms, Naples, Italy; [Zolotarov, Grygoriy] Berlin Inst Syst Biol, Max Delbruck Ctr Mol Med Helmholtz Assoc, Lab Syst Biol Gene Regulatory Elements, Hannoversche Str 28, D-10115 Berlin, Germany; [Hulselmans, Gert; Spanier, Katina I.; De Winter, Seppe; Aerts, Stein] Katholieke Univ Leuven, Dept Human Genet, B-3000 Leuven, Belgium; [Hulselmans, Gert; Spanier, Katina I.; Poovathingal, Suresh; De Winter, Seppe; Aerts, Stein] Katholieke Univ Leuven, VIB Ctr Brain &amp; Dis Res, B-3000 Leuven, Belgium; [Rajewsky, Nikolaus] Charite, Dept Pediat Oncol Hematol, Berlin, Germany; [Deryckere, Astrid] Columbia Univ, Dept Biol Sci, New York, NY USA</t>
  </si>
  <si>
    <t>KU Leuven; Stazione Zoologica Anton Dohrn; Helmholtz Association; Max Delbruck Center for Molecular Medicine; KU Leuven; KU Leuven; Flanders Institute for Biotechnology (VIB); Free University of Berlin; Charite Universitatsmedizin Berlin; Humboldt University of Berlin; Charite Universitatsmedizin Berlin; Columbia University</t>
  </si>
  <si>
    <t>Seuntjens, E (corresponding author), Katholieke Univ Leuven, Lab Dev Neurobiol, Dept Biol, Leuven, Belgium.</t>
  </si>
  <si>
    <t>eve.seuntjens@kuleuven.be</t>
  </si>
  <si>
    <t>KU Leuven [C14/21/065, ID-N/20/007, C14/18/092]; Stazione Zoologica Anton Dohrn; FWO [SB/1S19517N, FR/11D4120N]; joint KU Leuven-Stazione Zoologica Anton Dohrn Ph.D. fellowship</t>
  </si>
  <si>
    <t>KU Leuven(KU Leuven); Stazione Zoologica Anton Dohrn; FWO(FWO); joint KU Leuven-Stazione Zoologica Anton Dohrn Ph.D. fellowship</t>
  </si>
  <si>
    <t>The authors would like to thank Eduardo Almansa for his continuous support in providing us with octopus eggs and for sharing his expertise in octopus culture. Moreover, we want to thank Tania Aerts, Luca Masin, Mark Lassnig, and Ayana Rajagopal for critical discussions and Nikolai Hecker for his help with bioinformatic analysis. We would also like to acknowledge our master thesis students Swell Sieben for help during dissections and Sofia Maccuro and Dries Janssen for cloning. All computational analyses were performed at the Vlaams Supercomputer Center (VSC). This work was supported by KU Leuven (C14/21/065 to E.S., ID-N/20/007 to E.S. and S.A., and C14/18/092 to S.A.), Stazione Zoologica Anton Dohrn (G.P. and G.F.) and FWO (SB/1S19517N; A.D and FR/11D4120N; A.M.E.). R.S. was funded by a joint KU Leuven-Stazione Zoologica Anton Dohrn Ph.D. fellowship.</t>
  </si>
  <si>
    <t>NOV 30</t>
  </si>
  <si>
    <t>10.1038/s41467-022-35198-1</t>
  </si>
  <si>
    <t>WOS:001025612900032</t>
  </si>
  <si>
    <t>Borges, FO; Guerreiro, M; Santos, CP; Paula, JR; Rosa, R</t>
  </si>
  <si>
    <t>Borges, Francisco Oliveira; Guerreiro, Miguel; Santos, Catarina Pereira; Paula, Jose Ricardo; Rosa, Rui</t>
  </si>
  <si>
    <t>Projecting future climate change impacts on the distribution of the 'Octopus vulgaris species complex'</t>
  </si>
  <si>
    <t>biogeography; climate change; species distribution models; species complex; common octopus</t>
  </si>
  <si>
    <t>EARLY-LIFE STAGES; CEPHALOPODA OCTOPODIDAE; CRYPTIC BIODIVERSITY; DISTRIBUTION MODELS; COMMON OCTOPUS; INSULARIS; MARINE; THRESHOLDS; POPULATION; MITOCHONDRIAL</t>
  </si>
  <si>
    <t>IntroductionHistorically considered to be a single cosmopolitan species, the so called Octopus vulgaris species complex (OVSC) is now recognized to be a group of (at least) six cryptic species: O. americanus (in the west Atlantic), O. vulgaris (in the northeast Atlantic and Mediterranean Sea), O. aff. vulgaris (in the region of South Africa), O. tetricus (southeastern Oceania), O. sinensis (northwestern Pacific), and O. djinda (western Australia). The potentially different environmental preferences of this highly cryptic species complex may result in distinct consequences under future environmental conditions. MethodsThe present study employed species distribution models (SDM) using MaxEnt to investigate potential changes in habitat suitability and geographical distribution of the OVSC in the future (i.e., 2050, and 2100), across four representative concentration pathway scenarios (RCP-2.6, 4.5, 6.0, and 8.5, CMIP5). ResultsDifferential responses were observed in the OVSC species analyzed. Specifically, O. vulgaris and O. tetricus exhibited a severe loss in distribution across their predicted range; O. americanus exhibited projected extirpation close to the equator, with limited expansion towards the poles; O. aff. vulgaris was projected to lose half of its current distribution; O. sinensis exhibited moderate losses, with projected increases in northern areas; and finally, O. djinda exhibited limited losses to its distribution. Except for O. sinensis, increasing RCP severity exacerbated changes in mean habitat suitability and projected distribution gains and losses. DiscussionUltimately, this study provides information on the potential biogeographical effects of marine climate change on a key worldwide ecological and economic resource to further disentangle the effects over each OVSC species, with the goal of assisting toward the sustainable management of octopus species at the global scale.</t>
  </si>
  <si>
    <t>[Borges, Francisco Oliveira; Guerreiro, Miguel; Santos, Catarina Pereira; Paula, Jose Ricardo; Rosa, Rui] Univ Lisbon, Fac Ciencias, Marine &amp; Environm Sci Ctr, MARE, Lisbon, Portugal; [Guerreiro, Miguel] GEOMAR, Helmholtz Ctr Ocean Res Kiel, Kiel, Germany; [Paula, Jose Ricardo; Rosa, Rui] Univ Lisbon, Fac Ciencias, Dept Biol Anim, Lisbon, Portugal</t>
  </si>
  <si>
    <t>Universidade de Lisboa; Helmholtz Association; GEOMAR Helmholtz Center for Ocean Research Kiel; Universidade de Lisboa</t>
  </si>
  <si>
    <t>Borges, FO (corresponding author), Univ Lisbon, Fac Ciencias, Marine &amp; Environm Sci Ctr, MARE, Lisbon, Portugal.</t>
  </si>
  <si>
    <t>fdborges@fc.ul.pt</t>
  </si>
  <si>
    <t>Fundacao para a Ciencia e Tecnologia (FCT) [LA/P/0069/2020]; MARE [MARE UIDB/04292/2020]; FCT Ph.D. fellowships [SFRH/BD/147294/2019, SFRH/BD/148070/2019, SFRH/BD/117890/2016]; FCT Scientific Employment Stimulus program [2021.01030.CEECIND]; FCT project OCEANPLAN [PTDC/CTA-AMB/30226/2017]; FCiencias</t>
  </si>
  <si>
    <t>Fundacao para a Ciencia e Tecnologia (FCT)(Fundacao para a Ciencia e a Tecnologia (FCT)); MARE; FCT Ph.D. fellowships(Fundacao para a Ciencia e a Tecnologia (FCT)); FCT Scientific Employment Stimulus program; FCT project OCEANPLAN; FCiencias</t>
  </si>
  <si>
    <t>This study had the support of national funds through Fundacao para a Ciencia e Tecnologia (FCT), under the project LA/P/0069/2020 granted to the Associate Laboratory ARNET; the MARE grant MARE UIDB/04292/2020; and the FCT Ph.D. fellowships attributed to FB (SFRH/BD/147294/2019), MG (SFRH/BD/148070/2019), and CS (SFRH/BD/117890/2016), and the FCT Scientific Employment Stimulus program to JP (2021.01030.CEECIND). CS was also supported through the FCT project OCEANPLAN, under the grant agreement PTDC/CTA-AMB/30226/2017. financed through FCiencias.ID</t>
  </si>
  <si>
    <t>10.3389/fmars.2022.1018766</t>
  </si>
  <si>
    <t>WOS:000897956300001</t>
  </si>
  <si>
    <t>Zolotarov, G; Fromm, B; Legnini, I; Ayoub, S; Polese, G; Maselli, V; Chabot, PJ; Vinther, J; Styfhals, R; Seuntjens, E; Di Cosmo, A; Peterson, KJ; Rajewsky, N</t>
  </si>
  <si>
    <t>Zolotarov, Grygoriy; Fromm, Bastian; Legnini, Ivano; Ayoub, Salah; Polese, Gianluca; Maselli, Valeria; Chabot, Peter J.; Vinther, Jakob; Styfhals, Ruth; Seuntjens, Eve; Di Cosmo, Anna; Peterson, Kevin J.; Rajewsky, Nikolaus</t>
  </si>
  <si>
    <t>MicroRNAs are deeply linked to the emergence of the complex octopus brain</t>
  </si>
  <si>
    <t>SCIENCE ADVANCES</t>
  </si>
  <si>
    <t>MESSENGER-RNA; CIRCULAR RNAS; EVOLUTION; GENES; POLYADENYLATION; IDENTIFICATION; CANALIZATION; ROBUSTNESS; LANDSCAPE; SEQUENCES</t>
  </si>
  <si>
    <t>Soft-bodied cephalopods such as octopuses are exceptionally intelligent invertebrates with a highly complex nervous system that evolved independently from vertebrates. Because of elevated RNA editing in their nervous tissues, we hypothesized that RNA regulation may play a major role in the cognitive success of this group. We thus profiled messenger RNAs and small RNAs in three cephalopod species including 18 tissues of the Octopus vulgaris. We show that the major RNA innovation of soft-bodied cephalopods is an expansion of the microRNA (miRNA) gene repertoire. These evolutionarily novel miRNAs were primarily expressed in adult neuronal tissues and during the development and had conserved and thus likely functional target sites. The only comparable miRNA expansions happened, notably, in vertebrates. Thus, we propose that miRNAs are intimately linked to the evolution of complex animal brains.</t>
  </si>
  <si>
    <t>[Zolotarov, Grygoriy; Legnini, Ivano; Ayoub, Salah; Rajewsky, Nikolaus] Berlin Inst Med Syst Biol, Max Delbruck Ctr Mol Med Helmholtz Assoc, Lab Syst Biol Gene Regulatory Elements, HannoverscheStr 28, D-10115 Berlin, Germany; [Zolotarov, Grygoriy] Barcelona Inst Sci &amp; Technol BIST, Ctr Genom Regulat CRG, Barcelona, Spain; [Zolotarov, Grygoriy] Univ Pompeu Fabra UPF, Barcelona, Spain; [Fromm, Bastian] UiT Arctic Univ Norway, Tromso, Norway; [Fromm, Bastian] Stockholm Univ, SciLifeLab, Stockholm, Sweden; [Polese, Gianluca; Maselli, Valeria; Di Cosmo, Anna] Univ Naples Federico II, Dept Biol, Naples, Italy; [Chabot, Peter J.; Peterson, Kevin J.] Dartmouth Coll, Hanover, NH 03755 USA; [Vinther, Jakob] Univ Bristol, Sch Earth Sci, Bristol, England; [Vinther, Jakob] Univ Bristol, Sch Biol Sci, Bristol, England; [Styfhals, Ruth; Seuntjens, Eve] Katholieke Univ Leuven, Dept Biol, Lab Dev Neurobiol, Leuven, Belgium; [Styfhals, Ruth] Dept Biol &amp; Evolut Marine Organisms, Stn Zool Anton Dohrn, Naples, Italy</t>
  </si>
  <si>
    <t>Helmholtz Association; Max Delbruck Center for Molecular Medicine; Pompeu Fabra University; Barcelona Institute of Science &amp; Technology; Centre de Regulacio Genomica (CRG); Pompeu Fabra University; UiT The Arctic University of Tromso; SciLifeLab; Stockholm University; University of Naples Federico II; Dartmouth College; University of Bristol; University of Bristol; KU Leuven; Stazione Zoologica Anton Dohrn</t>
  </si>
  <si>
    <t>Rajewsky, N (corresponding author), Berlin Inst Med Syst Biol, Max Delbruck Ctr Mol Med Helmholtz Assoc, Lab Syst Biol Gene Regulatory Elements, HannoverscheStr 28, D-10115 Berlin, Germany.;Peterson, KJ (corresponding author), Dartmouth Coll, Hanover, NH 03755 USA.</t>
  </si>
  <si>
    <t>kevin.j.peterson@dartmouth.edu; rajewsky@mdc-berlin.de</t>
  </si>
  <si>
    <t>DFG; NSF; NASA-Ames; Dartmouth College; Carlsberg Foundation; Tromso Research Foundation (TFS); Strategic Research Area (SFO) program of the Swedish Research Council (VR) through Stockholm University; Italian Ministry of Education, Universities and Research; Deutsche Forschungsgemeinschaft (DFG, German Research Foundation) [EXC-2049, 390688087]</t>
  </si>
  <si>
    <t>DFG(German Research Foundation (DFG)); NSF(National Science Foundation (NSF)); NASA-Ames(National Aeronautics &amp; Space Administration (NASA)); Dartmouth College; Carlsberg Foundation(Carlsberg Foundation); Tromso Research Foundation (TFS); Strategic Research Area (SFO) program of the Swedish Research Council (VR) through Stockholm University(Swedish Research Council); Italian Ministry of Education, Universities and Research(Ministry of Education, Universities and Research (MIUR)); Deutsche Forschungsgemeinschaft (DFG, German Research Foundation)(German Research Foundation (DFG))</t>
  </si>
  <si>
    <t>G.Z. and all sequencing costs for O. vulgaris were supported by a DFG Award to N.R. (Leibniz award). Costs for the sequencing the O. bimaculoides and E. scolopes libraries and the development of miRNA annotation tools were supported by grants from the NSF, NASA-Ames, and Dartmouth College to K.P. Additional funding was supplied for sequencing of O. bimaculoides through the Carlsberg Foundation to J.V. B.F. is supported by the Tromso Research Foundation (TFS) and was supported by the Strategic Research Area (SFO) program of the Swedish Research Council (VR) through Stockholm University. G.P., V.M., and A.D.C. have been supported by Italian Ministry of Education, Universities and Research. Publication costs have been covered by the Deutsche Forschungsgemeinschaft (DFG, German Research Foundation) under Germany's Excellence Strategy, EXC-2049, 390688087.</t>
  </si>
  <si>
    <t>NOV 23</t>
  </si>
  <si>
    <t>eadd9938</t>
  </si>
  <si>
    <t>10.1126/sciadv.add9938</t>
  </si>
  <si>
    <t>WOS:000950622600003</t>
  </si>
  <si>
    <t>Méndez, L; Trigo, M; Zhang, B; Aubourg, SP</t>
  </si>
  <si>
    <t>Mendez, Lucia; Trigo, Marcos; Zhang, Bin; Aubourg, Santiago P.</t>
  </si>
  <si>
    <t>Antioxidant Effect of Octopus Byproducts in Canned Horse Mackerel (Trachurus trachurus) Previously Subjected to Different Frozen Storage Times</t>
  </si>
  <si>
    <t>ANTIOXIDANTS</t>
  </si>
  <si>
    <t>horse mackerel; frozen storage; canning; octopus processing; cooking liquor; packing medium; lipids; oxidation; hydrolysis; colour</t>
  </si>
  <si>
    <t>TUNA LIPIDS; QUALITY; PHOSPHOLIPIDS; MUSCLE; FLUORESCENCE; OXIDATION; EXTRACTS; FISH</t>
  </si>
  <si>
    <t>The effects on lipid damage in canned horse mackerel (Trachurus trachurus) of a prior frozen storage (-18 degrees C) period and the presence of an octopus (Octopus vulgaris) cooking juice (OCJ) in the packing medium were investigated. An increase of the frozen storage time favoured an increase (p &lt; 0.05) of free fatty acid (FFA), peroxide, and thiobarbituric acid reactive substance contents and a decrease (p &lt; 0.05) of the phospholipid (PL) value and polyene index. Furthermore, an increased presence of OCJ in the packing medium led to an inhibitory effect (p &lt; 0.05) on fluorescent compound formation as well as to a retention (p &lt; 0.05) of the PL and FFA compounds. Colour determination showed a substantial increase (p &lt; 0.05) of L* and b* values in canned fish with previous frozen storage time. Nevertheless, this increase was partly reduced (p &lt; 0.05) by the OCJ presence in the packing medium. It is concluded that previous holding time has led to an increased lipid oxidation development and loss of beneficial lipid constituents (i.e., PLs and polyunsaturated fatty acids). Remarkably, the presence in the packing medium of preservative compounds (i.e., antioxidants) included in waste juice obtained from octopus processing provided an effective tool for lipid preservation and quality enhancement in canned fish.</t>
  </si>
  <si>
    <t>[Mendez, Lucia; Trigo, Marcos; Aubourg, Santiago P.] Marine Res Inst CSIC, Dept Food Technol, C Eduardo Cabello 6, Vigo 636208, Spain; [Zhang, Bin] Zhejiang Ocean Univ, Coll Food Sci &amp; Pharm, Key Lab Hlth Risk Factors Seafood Zhejiang Prov, Zhoushan 316022, Peoples R China</t>
  </si>
  <si>
    <t>Consejo Superior de Investigaciones Cientificas (CSIC); CSIC - Instituto de Investigaciones Marinas (IIM); Zhejiang Ocean University</t>
  </si>
  <si>
    <t>Aubourg, SP (corresponding author), Marine Res Inst CSIC, Dept Food Technol, C Eduardo Cabello 6, Vigo 636208, Spain.</t>
  </si>
  <si>
    <t>saubourg@iim.cic.es</t>
  </si>
  <si>
    <t>MCI/AEI/FEDER, UE [RTI2018-095659-B-I00]; XUNTA DE GALICIA; SPANISH NATIONAL RESEARCH COUNCIL (CSIC)</t>
  </si>
  <si>
    <t>MCI/AEI/FEDER, UE(Spanish Government); XUNTA DE GALICIA(Xunta de Galicia); SPANISH NATIONAL RESEARCH COUNCIL (CSIC)(Consejo Superior de Investigaciones Cientificas (CSIC))</t>
  </si>
  <si>
    <t>This research was funded by MCI/AEI/FEDER, UE, grant number RTI2018-095659-B-I00 (2019-2022). The APC was funded by the XUNTA DE GALICIA and the SPANISH NATIONAL RESEARCH COUNCIL (CSIC).</t>
  </si>
  <si>
    <t>10.3390/antiox11112091</t>
  </si>
  <si>
    <t>Biochemistry &amp; Molecular Biology; Chemistry, Medicinal; Food Science &amp; Technology</t>
  </si>
  <si>
    <t>Biochemistry &amp; Molecular Biology; Pharmacology &amp; Pharmacy; Food Science &amp; Technology</t>
  </si>
  <si>
    <t>WOS:000880682000001</t>
  </si>
  <si>
    <t>Finnegan, DK; Murray, MJ; Young, S; Garner, MM; LaDouceur, EEB</t>
  </si>
  <si>
    <t>Finnegan, Daniel K.; Murray, Michael J.; Young, Samuel; Garner, Michael M.; LaDouceur, Elise E. B.</t>
  </si>
  <si>
    <t>Histologic lesions of cestodiasis in octopuses</t>
  </si>
  <si>
    <t>Aggregata; cephalopod; cestode; digestive gland; octopus; Rickettsia-like organism</t>
  </si>
  <si>
    <t>YUCATAN PENINSULA; MAYA PARASITES</t>
  </si>
  <si>
    <t>Parasitism of cephalopods is common, including infection with Aggregata spp., Ichthyobodo spp., dicyemids, cestodes of the orders Tetraphyllidea and Trypanorhynchidea, and various crustaceans. Cestodiasis in octopuses is reported, although a full histologic description of lesions has not been previously described. Cestodiasis was identified in 10 octopuses of 4 different species, which included 4 common octopuses (Octopus vulgaris), 3 Caribbean reef octopuses (Octopus briareus), 2 two-spot octopuses (Octopus bimaculoides), and 1 giant Pacific octopus (Enteroctopus dofleini). Larval cestodes were present in the cecum (n = 5), intestines (n = 4), digestive gland (n = 3), chitinous alimentary tract (n = 2), renal appendage (n = 1), and salivary duct (n = 1). In 5 cases, larval cestodes invaded tissue and were associated with hemocytic inflammation and tracts of necrotic tissue in the intestines (n = 3), digestive gland (n = 3), and/or renal appendage (n = 1). When present in the chitinous alimentary tract (esophagus, stomach) or cecum, larval cestodes were in the central lumen and not associated with lesions. One adult cestode was identified in the mantle cavity and was not associated with lesions. Other common concurrent parasitic infections included enteric Aggregata spp. infection, branchial Rickettsia-like organism infection, enteric nematodiasis, and an arthropod-associated branchitis.</t>
  </si>
  <si>
    <t>[Finnegan, Daniel K.; LaDouceur, Elise E. B.] Joint Pathol Ctr, Silver Spring, MD 20910 USA; [Murray, Michael J.] Monterey Bay Aquarium, Monterey, CA USA; [Young, Samuel] Greensboro Sci Ctr, Greensboro, NC USA; [Garner, Michael M.; LaDouceur, Elise E. B.] Northwest ZooPath, Monroe, WA USA</t>
  </si>
  <si>
    <t>Monterey Bay Aquarium Research Institute</t>
  </si>
  <si>
    <t>Finnegan, DK (corresponding author), Joint Pathol Ctr, Vet Pathol Serv, 606 Stephen Sitter Ave, Silver Spring, MD 20910 USA.</t>
  </si>
  <si>
    <t>daniel.k.finnegan.mil@mail.mil</t>
  </si>
  <si>
    <t>10.1177/03009858221128915</t>
  </si>
  <si>
    <t>OCT 2022</t>
  </si>
  <si>
    <t>WOS:000868405900001</t>
  </si>
  <si>
    <t>Prado-Alvarez, M; Dios, S; García-Fernández, P; Tur, R; Hachero-Cruzado, I; Domingues, P; Almansa, E; Varó, I; Gestal, C</t>
  </si>
  <si>
    <t>Prado-Alvarez, Maria; Dios, Sonia; Garcia-Fernandez, Pablo; Tur, Ricardo; Hachero-Cruzado, Ismael; Domingues, Pedro; Almansa, Eduardo; Varo, Inmaculada; Gestal, Camino</t>
  </si>
  <si>
    <t>De novo transcriptome reconstruction in aquacultured early life stages of the cephalopod Octopus vulgaris</t>
  </si>
  <si>
    <t>SCIENTIFIC DATA</t>
  </si>
  <si>
    <t>FUNCTIONAL ANNOTATION; PARALARVAE; GROWTH; MOLLUSCA; GENOME; BRAIN; RNA</t>
  </si>
  <si>
    <t>Cephalopods have been considered enigmatic animals that have attracted the attention of scientists from different areas of expertise. However, there are still many questions to elucidate the way of life of these invertebrates. The aim of this study is to construct a reference transcriptome in Octopus vulgaris early life stages to enrich existing databases and provide a new dataset that can be reused by other researchers in the field. For that, samples from different developmental stages were combined including embryos, newly-hatched paralarvae, and paralarvae of 10, 20 and 40 days post-hatching. Additionally, different dietary and rearing conditions and pathogenic infections were tested. At least three biological replicates were analysed per condition and submitted to RNA-seq analysis. All sequencing reads from experimental conditions were combined in a single dataset to generate a reference transcriptome assembly that was functionally annotated. The number of reads aligned to this reference was counted to estimate the transcript abundance in each sample. This dataset compiled a complete reference for future transcriptomic studies in O. vulgaris. Measurement(s) Transcriptome sequencing assay Technology Type(s) RNA-seq assay (Illumina) Sample Characteristic - Organism Octopus vulgaris Sample Characteristic - Environment Ocean Sample Characteristic - Location NW Spain (Ria de Vigo, Galicia)</t>
  </si>
  <si>
    <t>[Prado-Alvarez, Maria; Dios, Sonia; Garcia-Fernandez, Pablo; Gestal, Camino] CSIC, Inst Invest Marinas IIM, Eduardo Cabello 6, Vigo 36208, Spain; [Tur, Ricardo; Hachero-Cruzado, Ismael; Domingues, Pedro] CSIC, Ctr Oceanograf Vigo COV IEO, Subida Radio Faro 50 52, Vigo 36390, Spain; [Almansa, Eduardo] CSIC, Ctr Oceanograf Canarias COC IEO, Calle Farola Mar n 22, Santa Cruz de La Palma 38180, CA, Spain; [Varo, Inmaculada] CSIC, Inst Acuicultura Torre Sal IATS, Torre Sal S N, Ribera De Cabanes, Spain; [Garcia-Fernandez, Pablo; Tur, Ricardo] Pescanova Biomarine Ctr Lugar Ardia 172, O Grove 36980, Spain</t>
  </si>
  <si>
    <t>Consejo Superior de Investigaciones Cientificas (CSIC); CSIC - Instituto de Investigaciones Marinas (IIM); Consejo Superior de Investigaciones Cientificas (CSIC); Consejo Superior de Investigaciones Cientificas (CSIC); Consejo Superior de Investigaciones Cientificas (CSIC); CSIC - Instituto de Acuicultura de Torre de la Sal (IATS)</t>
  </si>
  <si>
    <t>Spanish Programme for Scientific and Technical Research and Innovation [AGL2017-89475-C2-1 - OCTOMICS]</t>
  </si>
  <si>
    <t>Spanish Programme for Scientific and Technical Research and Innovation</t>
  </si>
  <si>
    <t>This work was supported by Spanish Programme for Scientific and Technical Research and Innovation (AGL2017-89475-C2-1 - OCTOMICS).</t>
  </si>
  <si>
    <t>OCT 8</t>
  </si>
  <si>
    <t>10.1038/s41597-022-01735-2</t>
  </si>
  <si>
    <t>WOS:000865188500002</t>
  </si>
  <si>
    <t>Lin, MW; Kuan, PL; Sung, PH; Tseng, YC</t>
  </si>
  <si>
    <t>Lin, Meng-Wei; Kuan, Pou-Long; Sung, Po-Hsuan; Tseng, Yung-Che</t>
  </si>
  <si>
    <t>Metabolic trade-offs associated with homeostatic adjustments in pelagic and benthic cephalopods: Comparative evaluations of NH4+/H+ transport machinery in gills</t>
  </si>
  <si>
    <t>cephalopods; ecological niches; acid-base regulations; ammonium excretion; perfusion</t>
  </si>
  <si>
    <t>ACID-BASE REGULATION; AMMONIA EXCRETION; ENVIRONMENTAL CONSTRAINTS; NITROGEN-EXCRETION; ION REGULATION; SQUID; WATER; FISH; ENERGETICS; BUOYANCY</t>
  </si>
  <si>
    <t>Cephalopods are ancient mollusks that can be found in many different ecological niches in the ocean ranging from the intertidal zone to the deep-sea abyss. In order to adapt to a lifestyle in various habitats, cephalopods have evolved a variety of locomotory modes to accommodate their respective habitats. Most cephalopods have relatively high metabolic rates due to their less efficient swimming mode by jet propulsion. This lifestyle is characterized by a high level of energy expenditure, fueled exclusively by protein diets that are rapidly digested and may produce metabolic nitrogenous waste NH3/ NH (+)(4 ) accumulation and acid-base disturbances. This study observed that the NH (+)(4 ) transport rate in pelagic bigfin reef squid (Sepioteuthis lessoniana) is two times faster than benthic common octopus (Octopus vulgaris). Inhibition of Na+/H+ exchangers (NHEs) showed significant disruption of NH (4) (+ )and H+ excretory processes in gills of octopus but not in squid. However, inhibition of vacuolar-type H+-ATPase (VHA) significantly disrupts NH (4) (+ )and H+ transport rates in gills of both animals. Accordingly, for NH (4) (+) and H+ homeostasis, benthic octopus with lower aerobic respiration rates utilize both active and Na+-driven secondary transport machinery. In order to avoid NH ( +)(4) accumulated in the blood, pelagic squids with higher aerobic respiration rates prefer active (NH 4) (+) and H+ transport mechanisms that consume ATP intensively.</t>
  </si>
  <si>
    <t>[Lin, Meng-Wei; Kuan, Pou-Long; Sung, Po-Hsuan; Tseng, Yung-Che] Acad Sinica, Inst Cellular &amp; Organism Biol, Marine Res Stn MRS, Jiaushi, I Lan County, Taiwan; [Lin, Meng-Wei] Natl Taiwan Univ, Coll Life Sci, Dept Life Sci, Taipei, Taiwan</t>
  </si>
  <si>
    <t>Academia Sinica - Taiwan; National Taiwan University</t>
  </si>
  <si>
    <t>Tseng, YC (corresponding author), Acad Sinica, Inst Cellular &amp; Organism Biol, Marine Res Stn MRS, Jiaushi, I Lan County, Taiwan.</t>
  </si>
  <si>
    <t>yctseng@gate.sinica.edu.tw</t>
  </si>
  <si>
    <t>Ministry of Science and Technology, Taiwan, Republic of China; [MOST 107-2311-B-001 -015 -MY3]</t>
  </si>
  <si>
    <t>Ministry of Science and Technology, Taiwan, Republic of China;</t>
  </si>
  <si>
    <t>Funding This study was financially supported by grants to Y-CT from the Ministry of Science and Technology, Taiwan, Republic of China (MOST 107-2311-B-001 -015 -MY3).</t>
  </si>
  <si>
    <t>OCT 5</t>
  </si>
  <si>
    <t>10.3389/fmars.2022.971764</t>
  </si>
  <si>
    <t>WOS:000874175100001</t>
  </si>
  <si>
    <t>Poncet, L; Desnous, C; Bellanger, C; Jozet-Alves, C</t>
  </si>
  <si>
    <t>Poncet, Lisa; Desnous, Coraline; Bellanger, Ceprimecile; Jozet-Alves, Christelle</t>
  </si>
  <si>
    <t>Unruly octopuses are the rule: Octopus vulgaris use multiple and individually variable strategies in an episodic-like memory task</t>
  </si>
  <si>
    <t>JOURNAL OF EXPERIMENTAL BIOLOGY</t>
  </si>
  <si>
    <t>Cephalopod; Cognitive ability; Foraging strategies; Individual variability</t>
  </si>
  <si>
    <t>WHERE-WHEN MEMORY; PERSONALITY; MECHANISMS; HYPOTHESIS; PATTERNS; BEHAVIOR; ORDER; MODEL; TIME</t>
  </si>
  <si>
    <t>Episodic-like memory has mainly been studied through experimental tasks in which subjects have to remember what they ate, where and when or in which context. Seemingly quite common in mammals and corvids, episodic-like memory ability has also been demonstrated in the common cuttlefish, a cephalopod mollusc. To explore whether this ability is common to all cephalopods or whether it has emerged to face specific ecological constraints, we conducted an episodic-like memory task with seven Octopus vulgaris. Only one individual learnt the replenishing rates during training and subsequently showed episodic-like memory ability, whereas the other individuals favoured simpler foraging strategies, such as avoidance of familiarity and alternation, use of a win-stay strategy and risk sensitivity. A high variability in the use of these strategies was observed between and within individuals throughout training. As octopuses seem to live under lighter environmental pressure than cuttlefish, they may not need to rely on episodic-like memory ability to optimize foraging as cuttlefish do. These results highlight the differences in the use of complex cognitive abilities between cuttlefish and octopuses, which might be linked to different environmental and predatory constraints.</t>
  </si>
  <si>
    <t>[Poncet, Lisa; Desnous, Coraline; Bellanger, Ceprimecile; Jozet-Alves, Christelle] Normandie Univ, Unicaen, CNRS, EthoS, F-14000 Caen, France; [Poncet, Lisa; Desnous, Coraline; Bellanger, Ceprimecile; Jozet-Alves, Christelle] Univ Rennes, CNRS, EthoS Ethol Anim &amp; Humaine, UMR 6552, F-35000 Rennes, France</t>
  </si>
  <si>
    <t>Centre National de la Recherche Scientifique (CNRS); Universite de Caen Normandie; Universite de Rennes; Centre National de la Recherche Scientifique (CNRS); CNRS - National Institute for Biology (INSB)</t>
  </si>
  <si>
    <t>Poncet, L; Jozet-Alves, C (corresponding author), Normandie Univ, Unicaen, CNRS, EthoS, F-14000 Caen, France.;Poncet, L; Jozet-Alves, C (corresponding author), Univ Rennes, CNRS, EthoS Ethol Anim &amp; Humaine, UMR 6552, F-35000 Rennes, France.</t>
  </si>
  <si>
    <t>lisaponcet@unicaen.fr; christelle.alves@unicaen.fr</t>
  </si>
  <si>
    <t>Agence Nationale de la Recherche (French National Agency for Research) [ANR-18-CE02-0002]; Agence Nationale de la Recherche (ANR) [ANR-18-CE02-0002] Funding Source: Agence Nationale de la Recherche (ANR)</t>
  </si>
  <si>
    <t>Agence Nationale de la Recherche (French National Agency for Research)(Agence Nationale de la Recherche (ANR)); Agence Nationale de la Recherche (ANR)(Agence Nationale de la Recherche (ANR))</t>
  </si>
  <si>
    <t>This work was supported by a grant to C.J.-A. from the Agence Nationale de la Recherche (French National Agency for Research; COMeTT project: ANR-18-CE02-0002).</t>
  </si>
  <si>
    <t>jeb244234</t>
  </si>
  <si>
    <t>10.1242/jeb.244234</t>
  </si>
  <si>
    <t>Biology; Zoology</t>
  </si>
  <si>
    <t>Life Sciences &amp; Biomedicine - Other Topics; Zoology</t>
  </si>
  <si>
    <t>WOS:001043959700011</t>
  </si>
  <si>
    <t>Gaspar, L; Ricardo, F; Melo, T; Domingues, P; Domingues, MR; Calado, R; Rey, F</t>
  </si>
  <si>
    <t>Gaspar, Luis; Ricardo, Fernando; Melo, Tania; Domingues, Pedro; Domingues, M. Rosario; Calado, Ricardo; Rey, Felisa</t>
  </si>
  <si>
    <t>Lipidomics of common octopus' (Octopus vulgaris) arm muscle using untargeted high-resolution liquid chromatography-mass spectrometry</t>
  </si>
  <si>
    <t>JOURNAL OF FOOD COMPOSITION AND ANALYSIS</t>
  </si>
  <si>
    <t>Cephalopods; Food analysis; Food composition; LC-MS; Lipidome; Marine invertebrates; Omega-3 PUFA; Phospholipids; Phosphonolipids; Seafood</t>
  </si>
  <si>
    <t>FATTY-ACIDS; CERAMIDE 2-AMINOETHYLPHOSPHONATE; CARDIOVASCULAR-DISEASE; SEASONAL-VARIATIONS; OXIDATIVE STRESS; PHOSPHOLIPIDS; PLASMALOGEN; ETHANOLAMINE; MUSSELS; PROFILE</t>
  </si>
  <si>
    <t>The common octopus, Octopus vulgaris, is one of the most important cephalopod fisheries in the world. In Mediterranean cuisine, the common octopus is perceived as an ingredient highly valued for its palatability and nutritional value (source of omega 3 fatty acids). However, the polar lipids of this species are still poorly un-derstood. The present study performed the first fingerprinting of the polar lipidome of the arm muscle of O. vulgaris using a high-resolution mass spectrometry HILIC-LC-MS lipidomics approach. Samples of common octopus were sourced from specimens landed in Santa Luzia (Tavira, Algarve, Portugal), the most important octopus mono-specific fishing harbour in mainland Portugal. Nearly 400 lipid species have been identified from 13 classes of polar lipids. Phosphatidylcholine and phosphatidylethanolamine were the main phospholipids recorded, while the phosphonolipid CAEP and ceramides were the main sphingolipids identified. The structural characterization recognised a high proportion of essential fatty acids, such as EPA, DHA and several other very -long-chain fatty acids (24:5, 24:6) esterified in the polar lipids. The present study provides an unprecedented elucidation of the polar lipidome of O. vulgaris that can be used as a reference for future studies on nutritional value, ecology and traceability of geographic origin.</t>
  </si>
  <si>
    <t>[Gaspar, Luis; Ricardo, Fernando; Calado, Ricardo] Univ Aveiro, ECOMARE Lab Innovat &amp; Sustainabil Marine Biol Reso, CESAM Ctr Environm &amp; Marine Studies, Campus Univ Santiago, P-3810193 Aveiro, Portugal; [Gaspar, Luis; Ricardo, Fernando; Calado, Ricardo] Univ Aveiro, Dept Biol, Campus Univ Santiago, P-3810193 Aveiro, Portugal; [Melo, Tania; Domingues, M. Rosario; Rey, Felisa] Univ Aveiro, Dept Chem, Campus Univ Santiago, P-3810193 Aveiro, Portugal; [Melo, Tania; Domingues, Pedro; Domingues, M. Rosario; Rey, Felisa] Univ Aveiro, Mass Spectrometry Ctr, Campus Univ Santiago, P-3810193 Aveiro, Portugal; [Melo, Tania; Domingues, Pedro; Domingues, M. Rosario; Rey, Felisa] Univ Aveiro, Dept Chem, LAQV REQUIMTE, Campus Univ Santiago, P-3810193 Aveiro, Portugal; [Rey, Felisa] Univ Aveiro, ECOMARE &amp; CESAM Ctr Environm &amp; Marine Studies, Campus Univ Santiago, P-3810193 Aveiro, Portugal</t>
  </si>
  <si>
    <t>Universidade de Aveiro; Universidade de Aveiro; Universidade de Aveiro; Universidade de Aveiro; Universidade de Aveiro; Universidade de Aveiro</t>
  </si>
  <si>
    <t>Calado, R (corresponding author), Univ Aveiro, ECOMARE Lab Innovat &amp; Sustainabil Marine Biol Reso, CESAM Ctr Environm &amp; Marine Studies, Campus Univ Santiago, P-3810193 Aveiro, Portugal.;Rey, F (corresponding author), Univ Aveiro, Dept Chem, Campus Univ Santiago, P-3810193 Aveiro, Portugal.;Rey, F (corresponding author), Univ Aveiro, ECOMARE &amp; CESAM Ctr Environm &amp; Marine Studies, Campus Univ Santiago, P-3810193 Aveiro, Portugal.</t>
  </si>
  <si>
    <t>rjcalado@ua.pt; felisa.rey@ua.pt</t>
  </si>
  <si>
    <t>University of Aveiro; Fundacao para a Ciencia e a Tecnologia (FCT, Portugal); Ministerio da Ciencia e Tecnologia (MCT) [UIDP/50017/2020 +UIDB/50017/2020+LA/P/0094/2020]; LAQV-REQUIMTE [FCT UIDB/50006/2020]; European Regional Development Fund (FEDER) within the Portugal 2020 Partnership Agreement; Portuguese Mass Spectrometry Network (RNEM) [LISBOA-01- 0145-FEDER-402-022125]; FCT [CEEC-IND/00580/2017, CEECIND/01578/2020]; research project TraSeafood (Tracing the Geographic Origin of Seafood as a Pathway Towards the Smart Valorization of Endogenous Marine Resources through Programa Operacional da Competitividade e Internacionalizacao - FCT [PTDC/BIA-BMA/29491/ 2017]; COST Action EpiLipidNET [CA19105]</t>
  </si>
  <si>
    <t>University of Aveiro; Fundacao para a Ciencia e a Tecnologia (FCT, Portugal)(Fundacao para a Ciencia e a Tecnologia (FCT)); Ministerio da Ciencia e Tecnologia (MCT); LAQV-REQUIMTE; European Regional Development Fund (FEDER) within the Portugal 2020 Partnership Agreement(European Union (EU)Marie Curie Actions); Portuguese Mass Spectrometry Network (RNEM); FCT(Fundacao para a Ciencia e a Tecnologia (FCT)); research project TraSeafood (Tracing the Geographic Origin of Seafood as a Pathway Towards the Smart Valorization of Endogenous Marine Resources through Programa Operacional da Competitividade e Internacionalizacao - FCT; COST Action EpiLipidNET(European Cooperation in Science and Technology (COST))</t>
  </si>
  <si>
    <t>The authors acknowledge the University of Aveiro, Fundacao para a Ciencia e a Tecnologia (FCT, Portugal) and Ministerio da Ciencia e Tecnologia (MCT) for the financial support for the research units CESAM (UIDP/50017/2020 +UIDB/50017/2020+LA/P/0094/2020) and LAQV-REQUIMTE (FCT UIDB/50006/2020) through national funds and, whereapplicable, co-financed by the European Regional Development Fund (FEDER),within the Portugal 2020 Partnership Agreement, and to the Portuguese Mass Spectrometry Network (RNEM, LISBOA-01- 0145-FEDER-402-022125). This work was also funded by National funds through FCT in the scope of the Individual Call to Scientific Employment Stimulus 2017 with a Junior Researcher contract to Felisa Rey (reference CEEC-IND/00580/2017), and call 2020 to Tania Melo (reference CEECIND/01578/2020). We also thank Andreia Santos, Renato Mamede and Seila Diaz for their technical support. This study was supported by the research project TraSeafood (Tracing the Geographic Origin of Seafood as a Pathway Towards the Smart Valorization of Endogenous Marine Resources, (PTDC/BIA-BMA/29491/ 2017) through Programa Operacional da Competitividade e Internacionalizacao funded by FCT. The authors are also thankful to the COST Action EpiLipidNET, CA19105-Pan-European Network in Lipidomics and EpiLipidomics. This is a contribution of the Marine Lipidomics Laboratory</t>
  </si>
  <si>
    <t>10.1016/j.jfca.2022.104871</t>
  </si>
  <si>
    <t>SEP 2022</t>
  </si>
  <si>
    <t>Chemistry, Applied; Food Science &amp; Technology</t>
  </si>
  <si>
    <t>Chemistry; Food Science &amp; Technology</t>
  </si>
  <si>
    <t>WOS:000863291200003</t>
  </si>
  <si>
    <t>Duarte, B; Mamede, R; Carreiras, J; Duarte, IA; Caçador, I; Reis-Santos, P; Vasconcelos, RP; Gameiro, C; Ré, P; Tanner, SE; Fonseca, VF</t>
  </si>
  <si>
    <t>Duarte, Bernardo; Mamede, Renato; Carreiras, Joao; Duarte, Irina A.; Cacador, Isabel; Reis-Santos, Patrick; Vasconcelos, Rita P.; Gameiro, Carla; Re, Pedro; Tanner, Susanne E.; Fonseca, Vanessa F.</t>
  </si>
  <si>
    <t>Harnessing the Full Power of Chemometric-Based Analysis of Total Reflection X-ray Fluorescence Spectral Data to Boost the Identification of Seafood Provenance and Fishing Areas</t>
  </si>
  <si>
    <t>traceability; X-ray spectroscopy; chemometrics</t>
  </si>
  <si>
    <t>GEOGRAPHICAL ORIGIN; INFRARED-SPECTROSCOPY; TRACEABILITY; MULTIELEMENT; DIFFERENTIATION</t>
  </si>
  <si>
    <t>Provenance and traceability are crucial aspects of seafood safety, supporting managers and regulators, and allowing consumers to have clear information about the origin of the seafood products they consume. In the present study, we developed an innovative spectral approach based on total reflection X-ray fluorescence (TXRF) spectroscopy to identify the provenance of seafood and present a case study for five economically relevant marine species harvested in different areas of the Atlantic Portuguese coast: three bony fish-Merluccius merluccius, Scomber colias, and Sparus aurata; one elasmobranch-Raja clavata; one cephalopod-Octopus vulgaris. Applying a first-order Savitzky-Golay transformation to the TXRF spectra reduced the potential matrix physical effects on the light scattering of the X-ray beam while maintaining the spectral differences inherent to the chemical composition of the samples. Furthermore, a variable importance in projection partial least-squares discriminant analysis (VIP-PLS-DA), with k - 1 components (where k is the number of geographical origins of each seafood species), produced robust high-quality models of classification of samples according to their geographical origin, with several clusters well-evidenced in the dispersion plots of all species. Four of the five species displayed models with an overall classification above 80.0%, whereas the lowest classification accuracy for S. aurata was 74.2%. Notably, about 10% of the spectral features that significantly contribute to class differentiation are shared among all species. The results obtained suggest that TXRF spectra can be used for traceability purposes in seafood species (from bony and cartilaginous fishes to cephalopods) and that the presented chemometric approach has an added value for coupling with classic TXRF spectral peak deconvolution and elemental quantification, allowing characterization of the geographical origin of samples, providing a highly accurate and informative dataset in terms of food safety.</t>
  </si>
  <si>
    <t>[Duarte, Bernardo; Mamede, Renato; Carreiras, Joao; Duarte, Irina A.; Cacador, Isabel; Tanner, Susanne E.; Fonseca, Vanessa F.] Univ Lisbon, Fac Ciencias, MARE Marine &amp; Environm Sci Ctr, P-1749016 Lisbon, Portugal; [Duarte, Bernardo; Mamede, Renato; Carreiras, Joao; Duarte, Irina A.; Cacador, Isabel; Tanner, Susanne E.; Fonseca, Vanessa F.] Univ Lisbon, Fac Ciencias, ARNET Aquat Res Infrastruct Network Associated La, P-1749016 Lisbon, Portugal; [Duarte, Bernardo; Cacador, Isabel] Univ Lisbon, Fac Ciencias, Dept Biol Vegetal, P-1749016 Lisbon, Portugal; [Reis-Santos, Patrick] Univ Adelaide, Sch Biol Sci, Southern Seas Ecol Labs, Adelaide, SA 5005, Australia; [Vasconcelos, Rita P.; Gameiro, Carla] IPMA Inst Portugues Mar &amp; Atmosfera, Av Dr Alfredo Magalhaes Ramalho 6, P-1495165 Alges, Portugal; [Re, Pedro] Univ Lisbon, Fac Ciencias, MARE Marine &amp; Environm Sci Ctr, Ave Nossa Senhora Cabo, P-2750374 Cascais, Portugal; [Re, Pedro] Univ Lisbon, Fac Ciencias, ARNET Aquat Res Infrastruct Network Associated La, Lab Maritimo Guia, Ave Nossa Senhora Cabo, P-2750374 Cascais, Portugal; [Re, Pedro; Tanner, Susanne E.; Fonseca, Vanessa F.] Univ Lisbon, Fac Ciencias, Dept Biol Anim, P-1749016 Lisbon, Portugal</t>
  </si>
  <si>
    <t>Duarte, B (corresponding author), Univ Lisbon, Fac Ciencias, MARE Marine &amp; Environm Sci Ctr, P-1749016 Lisbon, Portugal.;Duarte, B (corresponding author), Univ Lisbon, Fac Ciencias, ARNET Aquat Res Infrastruct Network Associated La, P-1749016 Lisbon, Portugal.;Duarte, B (corresponding author), Univ Lisbon, Fac Ciencias, Dept Biol Vegetal, P-1749016 Lisbon, Portugal.</t>
  </si>
  <si>
    <t>Fundacao para a Ciencia e a Tecnologia (FCT) [UIDB/04292/2020, UIDP/04292/2020]; RNET (Aquatic Research Infrastructure Network Associated Laboratory) [LA/P/0069/2020]; MAR2020 program [MAR-01.03.01-FEAMP0047]; Programa Nacional de Amostragem Biologica; [CEECIND/00511/2017]; [2021.02710.CEECIND]; [2021.00244.CEECIND]</t>
  </si>
  <si>
    <t>Fundacao para a Ciencia e a Tecnologia (FCT)(Fundacao para a Ciencia e a Tecnologia (FCT)); RNET (Aquatic Research Infrastructure Network Associated Laboratory); MAR2020 program; Programa Nacional de Amostragem Biologica; ; ;</t>
  </si>
  <si>
    <t>The authors would like to thank Fundacao para a Ciencia e a Tecnologia (FCT) for funding MARE (Marine and Environmental Sciences Centre, UIDB/04292/2020 and UIDP/04292/2020) and ARNET (Aquatic Research Infrastructure Network Associated Laboratory, LA/P/0069/2020). The work was also funded by MAR2020 program via the Projects MarCODE (MAR-01.03.01-FEAMP0047). B.D., S.E.T. and V.F.F. were supported by research contracts (CEECIND/00511/2017, 2021.02710.CEECIND, and 2021.00244.CEECIND). R.P.V. and C.G. were funded by the Programa Nacional de Amostragem Biologica (EU Data Collection Framework). The authors would like to thank scientific observers of the Programa Nacional de Amostragem Biologica from IPMA for their collaboration in the collection of biological samples.</t>
  </si>
  <si>
    <t>10.3390/foods11172699</t>
  </si>
  <si>
    <t>WOS:000851003600001</t>
  </si>
  <si>
    <t>Amodio, P; Fiorito, G</t>
  </si>
  <si>
    <t>Amodio, Piero; Fiorito, Graziano</t>
  </si>
  <si>
    <t>A preliminary attempt to investigate mirror self-recognition in Octopus vulgaris</t>
  </si>
  <si>
    <t>mirror; self-recognition; octopus; cephalopod; mark test</t>
  </si>
  <si>
    <t>CHIMPANZEES; CEPHALOPODS; CUTTLEFISH; PATTERNS</t>
  </si>
  <si>
    <t>Mirror self-recognition (MSR) is a potential indicator of self-awareness. This capability has been widely investigated among vertebrates, yet it remains largely unstudied in invertebrates. Here we report preliminary data about behavioural responses exhibited by common octopuses (Octopus vulgaris) toward reflected images of themselves and explore a procedure for marking octopus' skin in order to conduct the Mark test. Octopuses (n = 8) received four familiarization trials with a mirror and four familiarization trials with a control stimulus: a non-reflective panel (Panel group, n = 4) or the sight of a conspecific housed in an adjacent tank (Social group, n = 4). Subsequently, octopuses were marked with non-toxic nail polish in the area where the Frontal White Spots are usually expressed, and they received one test trial with the mirror and one control trial with no mirror. We found that octopuses in the Panel group tended to exhibit a stronger exploratory response toward the mirror than the non-reflective panel, but performed agonistic responses only in the presence of the mirror. In contrast, octopuses in the Social group exhibited comparable exploratory and agonistic behaviours toward the mirror and the sight of the conspecific. In the Mark test, octopuses frequently explored the mark via their arms. However, mark-directed behaviours were also observed in the absence of the mirror and in sham-marked individuals, thus suggesting that proprioceptive stimuli drove these responses. Despite the limitations associated with our marking procedure, the baseline data collected in this pilot study may facilitate the further testing of MSR in the octopus and other cephalopods.</t>
  </si>
  <si>
    <t>[Amodio, Piero; Fiorito, Graziano] Stn Zool Anton Dohrn, Dept Biol &amp; Evolut Marine Organisms, Naples, Italy</t>
  </si>
  <si>
    <t>Amodio, P (corresponding author), Stn Zool Anton Dohrn, Dept Biol &amp; Evolut Marine Organisms, Naples, Italy.</t>
  </si>
  <si>
    <t>piero.amodio@szn.it</t>
  </si>
  <si>
    <t>Study Abroad Studentship - Leverhulme Trust; Stazione Zoologica intramural funds [SAS-2020-004\10]; RITMARE-MIUR Flagship Project</t>
  </si>
  <si>
    <t>Study Abroad Studentship - Leverhulme Trust(Leverhulme Trust); Stazione Zoologica intramural funds; RITMARE-MIUR Flagship Project</t>
  </si>
  <si>
    <t>During the preparation of this article, PA was supported by a Study Abroad Studentship (Grant reference: SAS-2020-004\10) funded by the Leverhulme Trust. GF was supported by Stazione Zoologica intramural funds and the RITMARE-MIUR Flagship Project.</t>
  </si>
  <si>
    <t>10.3389/fphys.2022.951808</t>
  </si>
  <si>
    <t>WOS:000874808600001</t>
  </si>
  <si>
    <t>Kim, YJ; Jo, S; Jung, SH; Woo, DH</t>
  </si>
  <si>
    <t>Kim, Ye-Ji; Jo, Seonmi; Jung, Seung-Hyun; Woo, Dong Ho</t>
  </si>
  <si>
    <t>Anti-stress Effect of Octopus Cephalotocin in Rats</t>
  </si>
  <si>
    <t>EXPERIMENTAL NEUROBIOLOGY</t>
  </si>
  <si>
    <t>Cephalotocin; SD rat; Tail suspension test; sEPSCs; Intrahippocampal infusion</t>
  </si>
  <si>
    <t>VASOPRESSIN 1B RECEPTOR; CORTICOSTERONE RESPONSES; FEEDBACK-REGULATION; MOLECULAR-CLONING; STRESS; EXPRESSION; CHANNELS; RELEASE; CA2</t>
  </si>
  <si>
    <t>Cephalotocin is a bioactivity-regulating peptide expressed in octopus (Octopus vulgaris). The peptide sequence of cephalotocin is very similar to the peptide sequence of mammalian vasopressin, and cephalotocin has been proposed to mainly activate arginine vasopressin 1b receptor (Avpr1b) in the brain. However, the effects of cephalotocin on mammalian behavior have not been studied. In the current study, cephalotocin significantly re-duced both the frequency and amplitude of spontaneous excitatory postsynaptic currents (sEPSCs) recorded from not only cultured neuronal cells from postnatal Sprague-Dawley (SD) rats but also hippocampal slices from 4-week-old male C57BL/6 mice. Intraperitoneal (IP) injection did not affect the open field behaviors of C57BL/6 mice. Cephalotocin was directly infused into the hippocampus because the normalized Avpr1b staining intensity divided by the DAPI staining intensity indicated that Avpr1b expression tended to be high in the hippocampus. A hippocampal infusion of 1 mg/kg cephalotocin via an implanted cannula exerted an anti-stress effect, significantly reducing the immobility time in the tail suspension test (TST). The present results provide evidence that the effects of cephalotocin on the activity of hippocampal neurons are related to ameliorating stress, suggesting that cephalotocin may be developed as an anti-stress biomodulator that functions by affecting the brain.</t>
  </si>
  <si>
    <t>[Kim, Ye-Ji; Woo, Dong Ho] Korea Inst Toxicol, Res Ctr Convergence Toxicol, Daejeon 34114, South Korea; [Kim, Ye-Ji; Woo, Dong Ho] Univ Sci &amp; Technol, Dept Human &amp; Environm Toxicol, Daejeon 34114, South Korea; [Jo, Seonmi; Jung, Seung-Hyun] Natl Marine Biodivers Inst Korea, Dept Genet Resources, Seocheon 33662, South Korea</t>
  </si>
  <si>
    <t>Korea Institute of Toxicology; University of Science &amp; Technology (UST); Marine Biodiversity Institute of Korea (MABIK)</t>
  </si>
  <si>
    <t>Woo, DH (corresponding author), Korea Inst Toxicol, Res Ctr Convergence Toxicol, Daejeon 34114, South Korea.;Woo, DH (corresponding author), Univ Sci &amp; Technol, Dept Human &amp; Environm Toxicol, Daejeon 34114, South Korea.</t>
  </si>
  <si>
    <t>dongho.woo@kitox.re.kr</t>
  </si>
  <si>
    <t>Collaborative Genome Program of the Korea Institute of Marine Science andTechnology Promotion (KIMST) - Ministry of Oceans and Fisheries (MOF) [20180430]; Ministry of Food and Drug Safety, the Republic of Korea [20182MFDS423]; National Marine Biodiversity Institute (MABIK) Research Program [2022M00400]; Ministry of Oceans and Fisheries, Korea; Korea Institute of Toxicology (KIT) Research Program [1711159828]</t>
  </si>
  <si>
    <t>Collaborative Genome Program of the Korea Institute of Marine Science andTechnology Promotion (KIMST) - Ministry of Oceans and Fisheries (MOF)(Korea Institute of Marine Science &amp; Technology Promotion (KIMST)Ministry of Oceans &amp; Fisheries (MOF), Republic of Korea); Ministry of Food and Drug Safety, the Republic of Korea; National Marine Biodiversity Institute (MABIK) Research Program; Ministry of Oceans and Fisheries, Korea; Korea Institute of Toxicology (KIT) Research Program</t>
  </si>
  <si>
    <t>This work was supported by grants from the Collaborative Genome Program of the Korea Institute of Marine Science andTechnology Promotion (KIMST) funded by the Ministry of Oceans and Fisheries (MOF) (No. 20180430 to DHW) , grant 20182MFDS423 from the Ministry of Food and Drug Safety in 2022, the Republic of Korea (to DHW) , a grant from the Korea Institute of Toxicology (KIT) Research Program (1711159828) and a grant from the National Marine Biodiversity Institute (MABIK) Research Program (No. 2022M00400 to SJ) funded by the Ministry of Oceans and Fisheries, Korea.</t>
  </si>
  <si>
    <t>10.5607/en22010</t>
  </si>
  <si>
    <t>Medicine, Research &amp; Experimental; Neurosciences</t>
  </si>
  <si>
    <t>Research &amp; Experimental Medicine; Neurosciences &amp; Neurology</t>
  </si>
  <si>
    <t>WOS:000862802400004</t>
  </si>
  <si>
    <t>Lewis-Luján, LM; Rosas-Burgos, EC; Ezquerra-Brauer, JM; Burboa-Zazueta, MG; Assanga, SBI; del Castillo-Castro, T; Penton, G; Plascencia-Jatomea, M</t>
  </si>
  <si>
    <t>Maria Lewis-Lujan, Lidianys; Carina Rosas-Burgos, Ema; Marina Ezquerra-Brauer, Josafat; Guadalupe Burboa-Zazueta, Maria; Iloki Assanga, Simon Bernard; del Castillo-Castro, Teresa; Penton, Giselle; Plascencia-Jatomea, Maribel</t>
  </si>
  <si>
    <t>Inhibition of Pathogenic Bacteria and Fungi by Natural Phenoxazinone from Octopus Ommochrome Pigments</t>
  </si>
  <si>
    <t>JOURNAL OF MICROBIOLOGY AND BIOTECHNOLOGY</t>
  </si>
  <si>
    <t>Ommochromes; xanthommatin; Octopus vulgaris; antioxidant; antimicrobial activity; fluorescence</t>
  </si>
  <si>
    <t>ANTIFUNGAL AGENTS; RESISTANCE; MECHANISMS; EXTRACT</t>
  </si>
  <si>
    <t>Cephalopods, in particular octopus (Octopus vulgaris), have the ability to alter their appearance or body pattern by showing a wide range of camouflage by virtue of their chromatophores, which contain nanostructured granules of ommochrome pigments. Recently, the antioxidant and antimicrobial activities of ommochromes have become of great interest; therefore, in this study, the pH-dependent redox effect of the extraction solvent on the antioxidant potential and the structural characterization of the pigments were evaluated. Cell viability was determined by the microdilution method in broth by turbidity, MTT, resazurin, as well as fluorescence microscopy kit assays. A Live/ Dead Double Staining Kit and an ROS Kit were used to elucidate the possible inhibitory mechanisms of ommochromes against bacterial and fungal strains. The results obtained revealed that the redox state alters the color changes of the ommochromes and is dependent on the pH in the extraction solvent. Natural phenoxazinone (ommochromes) is moderately toxic to the pathogens Staphylococcus aureus, Bacillus subtilis, Salmonella Typhimurium and Candida albicans, while the species Pseudomonas aeruginosa and Pseudomonas fluorescens, and the filamentous fungi Aspergillus parasiticus, Alternaria spp. and Fusarium verticillioides, were tolerant to these pigments. UV/visible spectral scanning and Fourier- transform infrared spectroscopy (FTIR) suggest the presence of reduced ommatin in methanol/ HCl extract with high intrinsic fluorescence.</t>
  </si>
  <si>
    <t>[Maria Lewis-Lujan, Lidianys; Carina Rosas-Burgos, Ema; Marina Ezquerra-Brauer, Josafat; Plascencia-Jatomea, Maribel] Univ Sonora, Dept Invest &amp; Posgrad Alimentos, Lab Microbiol &amp; Micotoxinas, Blvd Luis Encinas &amp; Rosales S-N, Hermosillo 83000, Sonora, Mexico; [Guadalupe Burboa-Zazueta, Maria] Dept Invest Cient &amp; Tecnol, Blvd Luis Encinas &amp; Rosales S-N, Hermosillo 83000, Sonora, Mexico; [Iloki Assanga, Simon Bernard] Sonora Univ, Dept Biol Chem Sci, Blvd Luis Encinas &amp; Rosales, Hermosillo 83000, Sonora, Mexico; [del Castillo-Castro, Teresa] Sonora Univ, Dept Res Polymers &amp; Mat, Blvd Luis Encinas &amp; Rosales, Hermosillo 83000, Sonora, Mexico; [Penton, Giselle] Ctr Ingn Genet &amp; Biotecnol, Ave 31 Entre 158 &amp; 190, Playa 6162, Habana, Cuba</t>
  </si>
  <si>
    <t>Universidad de Sonora; Universidad de Sonora; Universidad de Sonora; Centro de Ingenieria Genetica y Biotecnologia</t>
  </si>
  <si>
    <t>Plascencia-Jatomea, M (corresponding author), Univ Sonora, Dept Invest &amp; Posgrad Alimentos, Lab Microbiol &amp; Micotoxinas, Blvd Luis Encinas &amp; Rosales S-N, Hermosillo 83000, Sonora, Mexico.</t>
  </si>
  <si>
    <t>maribel.plascencia@unison.mx</t>
  </si>
  <si>
    <t>10.4014/jmb.2206.06043</t>
  </si>
  <si>
    <t>Biotechnology &amp; Applied Microbiology; Microbiology</t>
  </si>
  <si>
    <t>WOS:000850082400006</t>
  </si>
  <si>
    <t>Peng, B; Cai, BN; Pan, JY</t>
  </si>
  <si>
    <t>Peng, Bo; Cai, Bingna; Pan, Jianyu</t>
  </si>
  <si>
    <t>Octopus-derived antioxidant peptide protects against hydrogen peroxide-induced oxidative stress in IEC-6 cells</t>
  </si>
  <si>
    <t>FOOD SCIENCE &amp; NUTRITION</t>
  </si>
  <si>
    <t>antioxidant peptides; Octopus vulgaris; oxidative stress</t>
  </si>
  <si>
    <t>BIOACTIVE PEPTIDES; IDENTIFICATION; HYDROLYSATE</t>
  </si>
  <si>
    <t>This study aims to find antioxidant peptides from octopus protein hydrolyzates and verify the protective effects against H2O2-induced oxidative stress in IEC-6 cells. After the alcalase hydrolysate was ultrafiltrated, purified by Sephadex G-25 gel fractionation and semipreparative reversed-phase high-performance liquid chromatography (RP-HPLC), 16 peptides were identified, and chemically synthesized. In particular, the peptides AQNY, AMMLAW, FEGAW, GGAW, VDTVVCVW, and VVCLW showed better oxygen radical absorbance capacity (ORAC) and ABTS radical scavenging capacity. Among them, the smallest-molecular-weight peptide GGAW exhibited the best antioxidant activity. Furthermore, GGAW protected IEC-6 cells from H2O2-induced oxidative damage by significantly reducing the generation of reactive oxygen species (ROS), malondialdehyde (MDA), and lactate dehydrogenase (LDH), and increasing the activity of superoxide dismutase (SOD) and glutathione peroxidase (GSH-PX), thereby improving cell viability. These results indicated that the peptide GGAW possessed the antioxidant capacity to prevent oxidative stress damage.</t>
  </si>
  <si>
    <t>[Peng, Bo] Guangdong Ecoengn Polytech, Guangzhou, Peoples R China; [Peng, Bo] Chinese Acad Sci, Guangzhou Inst Geochem, Guangdong Prov Key Lab Environm Protect &amp; Resourc, State Key Lab Organ Geochem, Guangzhou, Peoples R China; [Peng, Bo] CAS Ctr Excellence Deep Earth Sci, Guangzhou, Peoples R China; [Peng, Bo] Univ Chinese Acad Sci, Beijing, Peoples R China; [Cai, Bingna] Chinese Acad Sci, Innovat Acad South China Sea Ecol &amp; Environm Engn, Guangzhou, Peoples R China; [Cai, Bingna; Pan, Jianyu] Chinese Acad Sci, South China Sea Inst Oceanol, Guangdong Key Lab Marine Mat Med, Key Lab Trop Marine Bioresources &amp; Ecol, 164 Xingangxi Rd, Guangzhou 510301, Peoples R China; [Pan, Jianyu] Southern Marine Sci &amp; Engn Guangdong Lab Guangzho, Guangzhou, Peoples R China</t>
  </si>
  <si>
    <t>Chinese Academy of Sciences; Guangzhou Institute of Geochemistry, CAS; Chinese Academy of Sciences; University of Chinese Academy of Sciences, CAS; Chinese Academy of Sciences; Chinese Academy of Sciences; South China Sea Institute of Oceanology, CAS; Southern Marine Science &amp; Engineering Guangdong Laboratory; Southern Marine Science &amp; Engineering Guangdong Laboratory (Guangzhou)</t>
  </si>
  <si>
    <t>Pan, JY (corresponding author), Chinese Acad Sci, South China Sea Inst Oceanol, Guangdong Key Lab Marine Mat Med, Key Lab Trop Marine Bioresources &amp; Ecol, 164 Xingangxi Rd, Guangzhou 510301, Peoples R China.</t>
  </si>
  <si>
    <t>jypan@scsio.ac.cn</t>
  </si>
  <si>
    <t>Institution of South China Sea Ecology and Environmental Engineering, Chinese Academy of Sciences [ISEE2021PY05]; Key Special Project for Introduced Talents Team of Southern Marine Science and Engineering Guangdong Laboratory (Guangzhou) [GML2019ZD0406]; Key-Area Research and Development Program of Guangdong Province [2020B1111030004]; National Key R&amp;D Program of China [2018YFC0311202]</t>
  </si>
  <si>
    <t>Institution of South China Sea Ecology and Environmental Engineering, Chinese Academy of Sciences; Key Special Project for Introduced Talents Team of Southern Marine Science and Engineering Guangdong Laboratory (Guangzhou); Key-Area Research and Development Program of Guangdong Province; National Key R&amp;D Program of China(National Key Research &amp; Development Program of China)</t>
  </si>
  <si>
    <t>Institution of South China Sea Ecology and Environmental Engineering, Chinese Academy of Sciences, Grant/Award Number: ISEE2021PY05; Key Special Project for Introduced Talents Team of Southern Marine Science and Engineering Guangdong Laboratory (Guangzhou), Grant/Award Number: GML2019ZD0406; Key--Area Research and Development Program of Guangdong Province, Grant/Award Number: 2020B1111030004; National Key R&amp;D Program of China, Grant/Award Number: 2018YFC0311202</t>
  </si>
  <si>
    <t>10.1002/fsn3.3000</t>
  </si>
  <si>
    <t>JUL 2022</t>
  </si>
  <si>
    <t>WOS:000830477200001</t>
  </si>
  <si>
    <t>Lozano-Bilbao, E; Lozano, G; Gutiérrez, AJ; Hardisson, A; Rubio, C; Paz, S; Weller, DG</t>
  </si>
  <si>
    <t>Lozano-Bilbao, Enrique; Lozano, Gonzalo; Gutierrez, Angel J.; Hardisson, Arturo; Rubio, Carmen; Paz, Soraya; Weller, Dailos Gonzalez</t>
  </si>
  <si>
    <t>The influence of the degassing phase of the Tagoro submarine volcano (Canary Islands) on the metal content of three species of cephalopods</t>
  </si>
  <si>
    <t>Volcano; Metal; Cephalopod; Canary Islands; Bioindicators</t>
  </si>
  <si>
    <t>HEAVY-METALS; ERUPTION; CADMIUM; POLLUTION; SQUID; BIOACCUMULATION; ACCUMULATION; OXIDATION; VULGARIS; TISSUES</t>
  </si>
  <si>
    <t>Underwater volcanic eruptions are a type of natural contamination that affect all marine organisms at a local level. These eruptions usually begin and end a degassing stage of the volcano that, although they do not affect the magnitude of magma emanation, affect organisms to a lesser degree locally, such as cephalopods that due to their metabolism and trophic level, are good bioindicators of contamination. A total of 180 samples of three species of cephalopods were collected for the study: sixty Sepia officinalis, sixty Octopus vulgaris and sixty Loligo vulgaris in the area of the submarine volcano in El Hierro, Tenerife and Lanzarote in the Canary Islands (twenty samples per species in each location), and the metal concentrations (Al, Cd, Cr, Cu, Fe, Li, Ni, Pb and Zn) in each of the samples were analyzed. All species showed significant differences for all metals in El Hierro compared to Tenerife and Lanzarote. All the analyzed species from El Hierro had higher concentrations of the nine studied metals, this is due to the fact that they were caught near the Tagoro submarine volcano, which at the time was in a state of degassing and discharged many metal-rich compounds.</t>
  </si>
  <si>
    <t>[Lozano-Bilbao, Enrique; Lozano, Gonzalo; Gutierrez, Angel J.; Hardisson, Arturo; Rubio, Carmen; Paz, Soraya; Weller, Dailos Gonzalez] Univ La Laguna ULL, Grp Interuniv Toxicol Alimentaria &amp; Ambiental, Fac Med, Campus Ofra, Tenerife 38071, Spain; [Lozano-Bilbao, Enrique] Univ Las Palmas Gran Canaria, I UNAT, Ecol Marina Aplicada &amp; Pesquerias, Campus Univ Tafira, Las Palmas Gran Canaria 35017, Spain; [Lozano, Gonzalo] Univ La Laguna, Dept Biol Anim &amp; Edafol &amp; Geol, Unidad Dept Ciencias Marinas, San Cristobal la Laguna 38206, Santa Cruz De T, Spain; [Gutierrez, Angel J.; Hardisson, Arturo; Rubio, Carmen; Paz, Soraya] Univ La Laguna, Dept Obstet &amp; Ginecol, Pediat Med Prevent &amp; Salud Publ, Med Legal &amp; Forense &amp; Parasitol,Area Toxicol, San Cristobal la Laguna 38200, Santa Cruz De T, Spain; [Weller, Dailos Gonzalez] Serv Publ Canario Salud, Lab Cent, Santa Cruz De Tenerife, Spain</t>
  </si>
  <si>
    <t>Universidad de la Laguna; Universidad de Las Palmas de Gran Canaria; Universidad de la Laguna; Universidad de la Laguna</t>
  </si>
  <si>
    <t>Gutiérrez, AJ (corresponding author), Univ La Laguna ULL, Grp Interuniv Toxicol Alimentaria &amp; Ambiental, Fac Med, Campus Ofra, Tenerife 38071, Spain.</t>
  </si>
  <si>
    <t>ajguti@ull.edu.es</t>
  </si>
  <si>
    <t>Ministerio de Economia y Competitividad del Gobierno de Espana (MINECO); FEDER through VULCANO project [CTM2012-36317]; FEDER through VULCANO-II project [CTM2014-51837-R]</t>
  </si>
  <si>
    <t>Ministerio de Economia y Competitividad del Gobierno de Espana (MINECO)(Spanish Government); FEDER through VULCANO project; FEDER through VULCANO-II project</t>
  </si>
  <si>
    <t>This research was funded by Ministerio de Economia y Competitividad del Gobierno de Espana (MINECO) and FEDER through VULCANO (CTM2012-36317) and VULCANO-II (CTM2014-51837-R) projects.</t>
  </si>
  <si>
    <t>10.1016/j.marpolbul.2022.113964</t>
  </si>
  <si>
    <t>WOS:000854057700011</t>
  </si>
  <si>
    <t>Almeida, C; Loubet, P; Laso, J; Nunes, ML; Marques, A</t>
  </si>
  <si>
    <t>Almeida, Cheila; Loubet, Philippe; Laso, Jara; Nunes, Maria L.; Marques, Antonio</t>
  </si>
  <si>
    <t>Environmental assessment of common octopus (Octopus vulgaris) from a small-scale fishery in Algarve (Portugal)</t>
  </si>
  <si>
    <t>INTERNATIONAL JOURNAL OF LIFE CYCLE ASSESSMENT</t>
  </si>
  <si>
    <t>Common octopus (Octopus vulgaris); Small-scale fishery; Pots; Traps; Plastic; Cephalopods; LCA; Fuel</t>
  </si>
  <si>
    <t>LIFE-CYCLE ASSESSMENT; SPATIAL-DISTRIBUTION; CARBON FOOTPRINT; SEA-FLOOR; SEAFOOD; IMPACT; PRODUCTS; PERFORMANCE; MANAGEMENT; HABITATS</t>
  </si>
  <si>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</si>
  <si>
    <t>[Almeida,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 Maria L.; Marques, Antonio] Ctr Interdisciplinar Invest Marinha &amp; Ambienta CI, Ave Gen Norton Matos S-N, P-4450208 Matosinhos, Portugal</t>
  </si>
  <si>
    <t>Instituto Portugues do Mar e da Atmosfera; Centre National de la Recherche Scientifique (CNRS); CNRS - Institute of Chemistry (INC); CNRS - Institute of Physics (INP); Universite de Bordeaux; Universidad de Cantabria; Universidade do Porto</t>
  </si>
  <si>
    <t>Almeida, C (corresponding author), Inst Portugues Mar &amp; Atmosfera IPMA, Div Aquacultura, Ave Doutor Alfredo Magalhaes Ramalho 6, P-1495165 Lisbon, Portugal.</t>
  </si>
  <si>
    <t>cheila.almeida@ipma.pt</t>
  </si>
  <si>
    <t>[EAPA_576/2018]</t>
  </si>
  <si>
    <t>This work was supported by the NEPTUNUS project (EAPA_576/2018).</t>
  </si>
  <si>
    <t>10.1007/s11367-022-02072-7</t>
  </si>
  <si>
    <t>JUN 2022</t>
  </si>
  <si>
    <t>WOS:000807982200001</t>
  </si>
  <si>
    <t>Chai, TT; Wong, CCC; Sabri, MZ; Wong, FC</t>
  </si>
  <si>
    <t>Tsun-Thai Chai; Wong, Clara Chia-Ci; Sabri, Mohamad Zulkeflee; Wong, Fai-Chu</t>
  </si>
  <si>
    <t>Seafood Paramyosins as Sources of Anti-Angiotensin-Converting-Enzyme and Anti-Dipeptidyl-Peptidase Peptides after Gastrointestinal Digestion: A Cheminformatic Investigation</t>
  </si>
  <si>
    <t>MOLECULES</t>
  </si>
  <si>
    <t>anti-ACE; anti-DPP-IV; gastrointestinal digestion; in silico; molecular docking; molecular dynamics; paramyosin; pharmacokinetics; seafood; target fishing</t>
  </si>
  <si>
    <t>INHIBITORY PEPTIDES; IV; INTESTINE; PROTEINS; DIAGRAMS; BIOLOGY</t>
  </si>
  <si>
    <t>Paramyosins, muscle proteins occurring exclusively in invertebrates, are abundant in seafoods. The potential of seafood paramyosins (SP) as sources of anti-angiotensin-converting-enzyme (ACE) and anti-dipeptidyl-peptidase (DPP-IV) peptides is underexplored. This in silico study investigated the release of anti-ACE and anti-DPP-IV peptides from SP after gastrointestinal (GI) digestion. We focused on SP of the common octopus, Humboldt squid, Japanese abalone, Japanese scallop, Mediterranean mussel, Pacific oyster, sea cucumber, and Whiteleg shrimp. SP protein sequences were digested on BIOPEP-UWM, followed by identification of known anti-ACE and anti-DPP-IV peptides liberated. Upon screening for high-GI-absorption, non-allergenicity, and non-toxicity, shortlisted peptides were analyzed via molecular docking and dynamic to elucidate mechanisms of interactions with ACE and DPP-IV. Potential novel anti-ACE and anti-DPP-IV peptides were predicted by SwissTargetPrediction. Physicochemical and pharmacokinetics of peptides were predicted with SwissADME. GI digestion liberated 2853 fragments from SP. This comprised 26 known anti-ACE and 53 anti-DPP-IV peptides exhibiting high-GI-absorption, non-allergenicity, and non-toxicity. SwissTargetPrediction predicted three putative anti-ACE (GIL, DL, AK) and one putative anti-DPP-IV (IAL) peptides. Molecular docking found most of the anti-ACE peptides may be non-competitive inhibitors, whereas all anti-DPP-IV peptides likely competitive inhibitors. Twenty-five nanoseconds molecular dynamics simulation suggests the stability of these screened peptides, including the three predicted anti-ACE and one predicted anti-DPP-IV peptides. Seven dipeptides resembling approved oral-bioavailable peptide drugs in physicochemical and pharmacokinetic properties were revealed: AY, CF, EF, TF, TY, VF, and VY. In conclusion, our study presented in silico evidence for SP being a promising source of bioavailable and safe anti-ACE and anti-DPP-IV peptides following GI digestions.</t>
  </si>
  <si>
    <t>[Tsun-Thai Chai; Wong, Clara Chia-Ci; Wong, Fai-Chu] Univ Tunku Abdul Rahman, Fac Sci, Dept Chem Sci, Kampar 31900, Malaysia; [Tsun-Thai Chai; Wong, Fai-Chu] Univ Tunku Abdul Rahman, Ctr Agr &amp; Food Res, Kampar 31900, Malaysia; [Sabri, Mohamad Zulkeflee] Univ Kuala Lumpur, Malaysian Inst Chem &amp; Bioengn Technol, Green Chem &amp; Sustainable Technol Cluster, Bioengn Sect, Lot 1988, Bandar Vendor Taboh Nani 78000, Alor Gajah, Malaysia</t>
  </si>
  <si>
    <t>Universiti Tunku Abdul Rahman (UTAR); Universiti Tunku Abdul Rahman (UTAR); University of Kuala Lumpur</t>
  </si>
  <si>
    <t>Chai, TT (corresponding author), Univ Tunku Abdul Rahman, Fac Sci, Dept Chem Sci, Kampar 31900, Malaysia.;Chai, TT (corresponding author), Univ Tunku Abdul Rahman, Ctr Agr &amp; Food Res, Kampar 31900, Malaysia.</t>
  </si>
  <si>
    <t>chaitt@utar.edu.my; clara2000genesis@lutar.my; mzulkeflee@unikl.edu.my; wongfc@utar.edu.my</t>
  </si>
  <si>
    <t>10.3390/molecules27123864</t>
  </si>
  <si>
    <t>WOS:000815872900001</t>
  </si>
  <si>
    <t>Elagoz, AM; Styfhals, R; Maccuro, S; Masin, L; Moons, L; Seuntjens, E</t>
  </si>
  <si>
    <t>Elagoz, Ali M.; Styfhals, Ruth; Maccuro, Sofia; Masin, Luca; Moons, Lieve; Seuntjens, Eve</t>
  </si>
  <si>
    <t>Optimization of Whole Mount RNA Multiplexed in situ Hybridization Chain Reaction With Immunohistochemistry, Clearing and Imaging to Visualize Octopus Embryonic Neurogenesis</t>
  </si>
  <si>
    <t>fluorescent in situ hybridization; immunohistochemistry; tissue clearing; cephalopod; brain development; invertebrate; light sheet imaging</t>
  </si>
  <si>
    <t>Gene expression analysis has been instrumental to understand the function of key factors during embryonic development of many species. Marker analysis is also used as a tool to investigate organ functioning and disease progression. As these processes happen in three dimensions, the development of technologies that enable detection of gene expression in the whole organ or embryo is essential. Here, we describe an optimized protocol of whole mount multiplexed RNA in situ hybridization chain reaction version 3.0 (HCR v3.0) in combination with immunohistochemistry (IHC), followed by fructose-glycerol clearing and light sheet fluorescence microscopy (LSFM) imaging on Octopus vulgaris embryos. We developed a code to automate probe design which can be applied for designing HCR v3.0 type probe pairs for fluorescent in situ mRNA visualization. As proof of concept, neuronal (Ov-elav) and glial (Ov-apolpp) markers were used for multiplexed HCR v3.0. Neural progenitor (Ov-ascl1) and precursor (Ov-neuroD) markers were combined with immunostaining for phosphorylated-histone H3, a marker for mitosis. After comparing several tissue clearing methods, fructose-glycerol clearing was found optimal in preserving the fluorescent signal of HCR v3.0. The expression that was observed in whole mount octopus embryos matched with the previous expression data gathered from paraffin-embedded transverse sections. Three-dimensional reconstruction revealed additional spatial organization that had not been discovered using two-dimensional methods.</t>
  </si>
  <si>
    <t>[Elagoz, Ali M.; Styfhals, Ruth; Maccuro, Sofia; Seuntjens, Eve] Katholieke Univ Leuven, Lab Dev Neurobiol, Dept Biol, Leuven, Belgium; [Elagoz, Ali M.; Styfhals, Ruth; Maccuro, Sofia; Masin, Luca; Moons, Lieve; Seuntjens, Eve] Katholieke Univ Leuven, Leuven Brain Inst, Leuven, Belgium; [Styfhals, Ruth] Stn Zool Anton Dohrn, Dept Biol &amp; Evolut Marine Organisms, Naples, Italy; [Masin, Luca; Moons, Lieve] Katholieke Univ Leuven, Dept Biol, Lab Neural Circuit Dev &amp; Regenerat, Leuven, Belgium</t>
  </si>
  <si>
    <t>KU Leuven; KU Leuven; Stazione Zoologica Anton Dohrn; KU Leuven</t>
  </si>
  <si>
    <t>Seuntjens, E (corresponding author), Katholieke Univ Leuven, Lab Dev Neurobiol, Dept Biol, Leuven, Belgium.;Seuntjens, E (corresponding author), Katholieke Univ Leuven, Leuven Brain Inst, Leuven, Belgium.</t>
  </si>
  <si>
    <t>Fonds Wetenschappelijk Onderzoek (FWO), Belgium [FR/11D4120N, SB/1S42720N]; Stazione Zoologica Anton Dohrn, Italy; KU Leuven, Belgium [N/20/007, C14/21/065]</t>
  </si>
  <si>
    <t>Fonds Wetenschappelijk Onderzoek (FWO), Belgium(FWO); Stazione Zoologica Anton Dohrn, Italy; KU Leuven, Belgium(KU Leuven)</t>
  </si>
  <si>
    <t>AE and LMa were supported by Fonds Wetenschappelijk Onderzoek (FWO), Belgium; FR/11D4120N and SB/1S42720N, respectively. RS was supported by a fellowship in Stazione Zoologica Anton Dohrn, Italy. ES was supported by KU Leuven, Belgium (ID-N/20/007 and C14/21/065).</t>
  </si>
  <si>
    <t>10.3389/fphys.2022.882413</t>
  </si>
  <si>
    <t>WOS:000811397500001</t>
  </si>
  <si>
    <t>Petrosino, G; Ponte, G; Volpe, M; Zarrella, I; Ansaloni, F; Langella, C; Di Cristina, G; Finaurini, S; Russo, MT; Basu, S; Musacchia, F; Ristoratore, F; Pavlinic, D; Benes, V; Ferrante, MI; Albertin, C; Simakov, O; Gustincich, S; Fiorito, G; Sanges, R</t>
  </si>
  <si>
    <t>Petrosino, Giuseppe; Ponte, Giovanna; Volpe, Massimiliano; Zarrella, Ilaria; Ansaloni, Federico; Langella, Concetta; Di Cristina, Giulia; Finaurini, Sara; Russo, Monia T.; Basu, Swaraj; Musacchia, Francesco; Ristoratore, Filomena; Pavlinic, Dinko; Benes, Vladimir; Ferrante, Maria I.; Albertin, Caroline; Simakov, Oleg; Gustincich, Stefano; Fiorito, Graziano; Sanges, Remo</t>
  </si>
  <si>
    <t>Identification of LINE retrotransposons and long non-coding RNAs expressed in the octopus brain</t>
  </si>
  <si>
    <t>BMC BIOLOGY</t>
  </si>
  <si>
    <t>Mollusks; Nervous system; Transcriptome; Transposable elements</t>
  </si>
  <si>
    <t>LEARNING-SYSTEM; VERTICAL LOBE; GENOME; TOOL; ANNOTATION; ORIGIN; GENES; CELLS; CEPHALOPODS; MOSAICISM</t>
  </si>
  <si>
    <t>Background Transposable elements (TEs) widely contribute to the evolution of genomes allowing genomic innovations, generating germinal and somatic heterogeneity, and giving birth to long non-coding RNAs (lncRNAs). These features have been associated to the evolution, functioning, and complexity of the nervous system at such a level that somatic retrotransposition of long interspersed element (LINE) L1 has been proposed to be associated to human cognition. Among invertebrates, octopuses are fascinating animals whose nervous system reaches a high level of complexity achieving sophisticated cognitive abilities. The sequencing of the genome of the Octopus bimaculoides revealed a striking expansion of TEs which were proposed to have contributed to the evolution of its complex nervous system. We recently found a similar expansion also in the genome of Octopus vulgaris. However, a specific search for the existence and the transcription of full-length transpositionally competent TEs has not been performed in this genus. Results Here, we report the identification of LINE elements competent for retrotransposition in Octopus vulgaris and Octopus bimaculoides and show evidence suggesting that they might be transcribed and determine germline and somatic polymorphisms especially in the brain. Transcription and translation measured for one of these elements resulted in specific signals in neurons belonging to areas associated with behavioral plasticity. We also report the transcription of thousands of lncRNAs and the pervasive inclusion of TE fragments in the transcriptomes of both Octopus species, further testifying the crucial activity of TEs in the evolution of the octopus genomes. Conclusions The neural transcriptome of the octopus shows the transcription of thousands of putative lncRNAs and of a full-length LINE element belonging to the RTE class. We speculate that a convergent evolutionary process involving retrotransposons activity in the brain has been important for the evolution of sophisticated cognitive abilities in this genus.</t>
  </si>
  <si>
    <t>[Petrosino, Giuseppe; Ponte, Giovanna; Volpe, Massimiliano; Zarrella, Ilaria; Langella, Concetta; Di Cristina, Giulia; Basu, Swaraj; Musacchia, Francesco; Ristoratore, Filomena; Fiorito, Graziano; Sanges, Remo] Stazione Zool Anton Dohrn, Dept Biol &amp; Evolut Marine Organisms, Villa Comunale,SZN, I-80121 Naples, Italy; [Petrosino, Giuseppe] Inst Mol Biol IMB, Mainz, Germany; [Volpe, Massimiliano; Ansaloni, Federico; Gustincich, Stefano; Sanges, Remo] Ist Italiano Tecnol IIT, Cent RNA Lab, Via Enrico Melen 83, I-16152 Genoa, Italy; [Volpe, Massimiliano] Linkoping Univ, Dept Biomed &amp; Clin Sci, Linkoping, Sweden; [Di Cristina, Giulia] Univ Cologne, Inst Zool, Cologne, Germany; [Finaurini, Sara; Gustincich, Stefano; Sanges, Remo] Scuola Int Super Avanzati SISSA, Neurobiol Sect, Via Bonomea 265, I-34136 Trieste, Italy; [Russo, Monia T.; Ferrante, Maria I.] Stazione Zool Anton Dohrn, Dept Integrat Marine Ecol, Villa Comunale,SZN, I-80121 Naples, Italy; [Basu, Swaraj] Strand Life Sci, Bengaluru, India; [Pavlinic, Dinko; Benes, Vladimir] European Mol Biol Lab EMBL, Sci Core Facil Technol, GeneCore, Meyerhofstr 1, D-69117 Heidelberg, Germany; [Pavlinic, Dinko] Inst Mol &amp; Clin Ophthalmol, Basel, Switzerland; [Albertin, Caroline] Marine Biol Lab MBL, Woods Hole, MA USA; [Simakov, Oleg] Grad Univ, Okinawa Inst Sci &amp; Technol, Okinawa 9040495, Japan; [Simakov, Oleg] Univ Wien, Dept Mol Evolut &amp; Development, Althanstr 14 UZA, A-1090 Vienna, Austria</t>
  </si>
  <si>
    <t>Stazione Zoologica Anton Dohrn; Institute of Molecular Biology (IMB); Istituto Italiano di Tecnologia - IIT; Linkoping University; University of Cologne; International School for Advanced Studies (SISSA); Stazione Zoologica Anton Dohrn; European Molecular Biology Laboratory (EMBL); Okinawa Institute of Science &amp; Technology Graduate University; University of Vienna</t>
  </si>
  <si>
    <t>Fiorito, G; Sanges, R (corresponding author), Stazione Zool Anton Dohrn, Dept Biol &amp; Evolut Marine Organisms, Villa Comunale,SZN, I-80121 Naples, Italy.;Sanges, R (corresponding author), Scuola Int Super Avanzati SISSA, Neurobiol Sect, Via Bonomea 265, I-34136 Trieste, Italy.</t>
  </si>
  <si>
    <t>graziano.fiorito@szn.it; remo.sanges@gmail.com</t>
  </si>
  <si>
    <t>Progetto Premiale MolEcOC (Italian Ministry of Education, University and Research, MIUR); Flagship project RITMARE (MIUR and Stazione Zoologica); BIOforIU PON Project (MIUR); BIOforIU PON Project (European Regional Development Fund, FESR); SZN PhD fellowship</t>
  </si>
  <si>
    <t>Progetto Premiale MolEcOC (Italian Ministry of Education, University and Research, MIUR)(Ministry of Education, Universities and Research (MIUR)); Flagship project RITMARE (MIUR and Stazione Zoologica); BIOforIU PON Project (MIUR)(Ministry of Education, Universities and Research (MIUR)); BIOforIU PON Project (European Regional Development Fund, FESR); SZN PhD fellowship</t>
  </si>
  <si>
    <t>The work has been supported by Progetto Premiale MolEcOC (Italian Ministry of Education, University and Research, MIUR), Flagship project RITMARE (MIUR and Stazione Zoologica), and BIOforIU PON Project (MIUR and European Regional Development Fund, FESR). Giuseppe Petrosino, Swaraj Basu, Massimiliano Volpe, and Giulia Di Cristina have been supported by a SZN PhD fellowship.</t>
  </si>
  <si>
    <t>MAY 18</t>
  </si>
  <si>
    <t>10.1186/s12915-022-01303-5</t>
  </si>
  <si>
    <t>WOS:000796994000001</t>
  </si>
  <si>
    <t>Nande, M; Monroig, O; Machado, AM; Castro, LFC; Lopes-Marques, M; Capitao, A; Navarro, JC</t>
  </si>
  <si>
    <t>Nande, M.; Monroig, O.; Machado, A. M.; Castro, L. F. C.; Lopes-Marques, M.; Capitao, A.; Navarro, J. C.</t>
  </si>
  <si>
    <t>Dietary lipids as modulators of fatty acid profile and gene expression patterns on body compartments of Octopus vulgaris paralarvae</t>
  </si>
  <si>
    <t>Octopus vulgaris paralarvae; Fatty acids; Gene expression; Glycerophospholipid metabolism; Dietary lipids</t>
  </si>
  <si>
    <t>CUTTLEFISH SEPIA-OFFICINALIS; MULTIPLE SEQUENCE ALIGNMENT; COMMON OCTOPUS; DIGESTIVE GLAND; FUNCTIONAL-CHARACTERIZATION; EMBRYONIC-DEVELOPMENT; MOLECULAR-CLONING; ACYL DESATURASE; CUVIER; ARTEMIA</t>
  </si>
  <si>
    <t>The common octopus, Octopus vulgaris, is a promising mollusc species for marine aquaculture diversification due to its high growth rates and commercial value. Yet, the elevated mortalities mainly related to lipid-linked nutritional deficiencies during the planktonic stage (paralarvae), hinder the development of efficient protocols for a complete rearing cycle. Although the effect of dietary lipids, especially fatty acids (FA), has been the subject of intense research, the available information is essentially restricted to their impact on the composition of the whole parlarval organism. In contrast, little is known about the effects of dietary signature and the specific requirements of each anatomical structure through the paralarvae development. In addition, knowledge about the endogenous capacity in each paralarvae body structure for adaptation to different dietary scenarios is necessary. In the present work, a series of experiments were carried out based on newly hatched paralarvae (PH) and paralarvae fed (30 days post-hatch (DPH)) either with marine crustacean zoeae (PZ) or with Artemia metanauplii (PA). At the end of the trials, the paralarvae were dissected into functional (mantle, head, and arms) and digestive (digestive gland (DG)) body compartment and the FA profile, as well as the expression patterns of genes involved in the long chain polyunsaturated FA (LC-PUFA) (stearoyl-CoA desaturase (scd), omega x2 desaturase (omega x2), omega x1 desaturase (omega x1), fatty acyl desaturase (fad), elovl2/5, elovl4), and glycerophospholipid biosynthetic pathways (agpta, lpin, chpt, and dgat) were analysed. Results showed a positive effect of the PZ diet on growth and development of paralarvae as compared to PA, and distinct FA composition for the 3 experimental groups. The digestive gland was associated to 18C FA (18:3n-3, 18:4n3, 18:1n9, and 18:2n6), while n-6 and n-3 LC-PUFA (20:4n6, 20:5n3, 22:5n3, and 22:6n3) were found in a higher proportion in functional body compartments. The expression of LC-PUFA biosynthesis-linked genes increased significantly during development, with the functional body compartments of the PA treatment being up-regulated as compared to PZ, pointing at a putative compensatory mechanism. In addition, a higher amount of transcripts linked to the triggering of the phosphatidylcholine synthesis (chpt) was found in the digestive gland of PA and PZ and arms of PZ; whereas genes related with triacylglycerol (TAG) synthesis (lpin and dgat) were enhanced in the digestive gland of PA and PH. Dietary treatments affected the FA profile and the gene expression patterns in both digestive (more similar FA profile and glycerophospholipid biosynthesis) and functional (different FA profile and LC-PUFA biosynthesis) compartments of the paralarvae. Furthermore, LC-PUFA biosynthesis-related genes in the head and glycerophospholipid target genes in DG could be used as biomarkers of nutritional deficiencies in paralarvae.</t>
  </si>
  <si>
    <t>[Nande, M.; Machado, A. M.; Castro, L. F. C.; Capitao, A.] Univ Porto, CIIMAR Interdisciplinary Ctr Marine &amp; Environm Res, Ave Gen Norton Matos S-N, Porto, Portugal; [Monroig, O.; Navarro, J. C.] Inst Acuicultura Torre Sal IATS CSIC, Castellon de La Plana 12595, Spain; [Castro, L. F. C.; Lopes-Marques, M.] Univ Porto, Fac Sci, Dept Biol, Porto, Portugal; [Lopes-Marques, M.] Univ Porto, i3S Inst Invest &amp; Inovacao Saude, Porto, Portugal; [Lopes-Marques, M.] Univ Porto, IBMC Inst Biol Mol &amp; Celular, Porto, Portugal</t>
  </si>
  <si>
    <t>Universidade do Porto; Consejo Superior de Investigaciones Cientificas (CSIC); CSIC - Instituto de Acuicultura de Torre de la Sal (IATS); Universidade do Porto; Universidade do Porto; i3S - Instituto de Investigacao e Inovacao em Saude, Universidade do Porto; Universidade do Porto</t>
  </si>
  <si>
    <t>Nande, M (corresponding author), Univ Porto, CIIMAR Interdisciplinary Ctr Marine &amp; Environm Res, Ave Gen Norton Matos S-N, Porto, Portugal.;Navarro, JC (corresponding author), Inst Acuicultura Torre Sal IATS CSIC, Castellon de La Plana 12595, Spain.</t>
  </si>
  <si>
    <t>mnande@ciimar.up.pt; jc.navarro@csic.es</t>
  </si>
  <si>
    <t>Short Term Scientific Missions (STSMs) [COST ACTION FA1301]; network for improvement of cephalopod welfare and husbandry in research [RTI2018-095119-B-100]; COST (European COoperation on Science and Technology) Action [RTI2018-095119-B-100]; Agencia Espanola de Investigacion, Spain [RTI2018-095119-B-100, FA1301]; FEDER; [MCIU/AEI/FEDER/UE/MCIN/AEI/10.13039/501100011033]</t>
  </si>
  <si>
    <t>Short Term Scientific Missions (STSMs); network for improvement of cephalopod welfare and husbandry in research; COST (European COoperation on Science and Technology) Action; Agencia Espanola de Investigacion, Spain; FEDER(European Union (EU)Spanish Government);</t>
  </si>
  <si>
    <t>This study benefited from the Short Term Scientific Missions (STSMs) include in the networking activities carried out under the COST ACTION FA1301 (STSMs) , and is considered a contribution to the COST (European COoperation on Science and Technology) Action FA1301 ?A network for improvement of cephalopod welfare and husbandry in research, aquaculture, and fisheries? (http:// www.cephsinaction.org/) . This study was funded through the project IMPROMEGA Agencia Espanola de Investigacion, Spain, grant no. RTI2018-095119-B-100, MCIU/AEI/FEDER/UE/MCIN/AEI/10.13039/501100011033/and FEDER ?A way to make Europe.</t>
  </si>
  <si>
    <t>JUL 15</t>
  </si>
  <si>
    <t>10.1016/j.aquaculture.2022.738293</t>
  </si>
  <si>
    <t>MAY 2022</t>
  </si>
  <si>
    <t>WOS:000804190800005</t>
  </si>
  <si>
    <t>Vargheese, S; Sajikumar, KK; Basheer, VS</t>
  </si>
  <si>
    <t>Vargheese, Sneha; Sajikumar, Kurichithara K.; Basheer, Valaparambil S.</t>
  </si>
  <si>
    <t>INTEGRATED TAXONOMIC APPROACH FOR IDENTIFICATION OF OCTOPUS SPECIES FROM THE SOUTHWEST COAST OF INDIA</t>
  </si>
  <si>
    <t>MALACOLOGIA</t>
  </si>
  <si>
    <t>Octopus; barcoding; taxonomy; fisheries; conservation</t>
  </si>
  <si>
    <t>CEPHALOPODA OCTOPODIDAE; VULGARIS</t>
  </si>
  <si>
    <t>Cephalopods are a commercially important resource for the Indian coast. Species of Octopus alone account for around 10% of the global cephalopod fishery and roughly 3% of Indian fisheries. Proper identification of cephalopods in the field is difficult, and accurate identification of species is important for conservation as well as for sustainable fisheries management of octopus species. With a view to identify and genetically catalogue the octopus species from the southwest Indian coast, 28 specimens were collected from different landing centres in the region and identified morphologically. Molecular characterization was done with partial sequence information from the mitochondrial Cytochrome C Oxidase-I (COI) gene. All the specimens analysed in the study belong to the family Octopodidae. The specimens were identified as four species of Amphioctopus: Amphioctopus neglectus, A. marginatus, A. aegina and A. rex, and two Cistopus: Cistopus indicus and C. taiwanicus, as well as, Octopus vulgaris and Callistoctopus macropus. In the present study, Octopus vulgaris showed genetic similarity with Octopus vulgaris Type III but with 1% divergence from Octopus vulgaris Type II and 3% divergence from Octopus vulgaris Type IV.</t>
  </si>
  <si>
    <t>[Vargheese, Sneha; Basheer, Valaparambil S.] ICAR NBFGR, PMFGR Ctr, CMFRI Campus, Kochi 682018, Kerala, India; [Vargheese, Sneha] Kerala Univ Fisheries &amp; Ocean Studies, Kochi 682506, Kerala, India; [Sajikumar, Kurichithara K.] ICAR Cent Marine Fisheries Res Inst, Post Box 1603,Ernakulam North PO, Kochi 682018, Kerala, India</t>
  </si>
  <si>
    <t>Indian Council of Agricultural Research (ICAR); ICAR - Central Marine Fisheries Research Institute; ICAR - National Bureau of Fish Genetic Resources; Kerala University of Fisheries &amp; Ocean Studies; Indian Council of Agricultural Research (ICAR); ICAR - Central Marine Fisheries Research Institute</t>
  </si>
  <si>
    <t>Vargheese, S (corresponding author), ICAR NBFGR, PMFGR Ctr, CMFRI Campus, Kochi 682018, Kerala, India.;Vargheese, S (corresponding author), Kerala Univ Fisheries &amp; Ocean Studies, Kochi 682506, Kerala, India.</t>
  </si>
  <si>
    <t>sneha.v1193@gmail.com</t>
  </si>
  <si>
    <t>Department of Science and Technology, Ministry of Science and Technology, Government of India (DST-Inspire fellowship); ICAR</t>
  </si>
  <si>
    <t>Department of Science and Technology, Ministry of Science and Technology, Government of India (DST-Inspire fellowship); ICAR(Indian Council of Agricultural Research (ICAR))</t>
  </si>
  <si>
    <t>The authors would like to express their sincere thanks to Director, ICAR-NBFGR, Lucknow for providing facilities to carry out this study at PMFGR Centre, Kochi. The work was carried out with financial support from Department of Science and Technology, Ministry of Science and Technology, Government of India (DST-Inspire fellowship) to Ms. Sneha Vargheese. The authors would also like to express their gratitude to DDG (Fy. Sc.), ICAR for support, guidance and encouragement. We are thankful to Dr. K. S. Mohamed, Rt. Head of Department, Molluscan Fisheries Division, CMFRI, Kochi, for his support. We would also like to thank Rahul G. Kumar for his valuable comments. The quality of this manuscript was greatly improved by the comments and suggestions of two anonymous reviewers.</t>
  </si>
  <si>
    <t>10.4002/040.064.0210</t>
  </si>
  <si>
    <t>WOS:000803649700010</t>
  </si>
  <si>
    <t>Kim, YJ; Lee, JH; Jung, SH; Kim, KH; Choi, CH; Jo, S; Woo, DH</t>
  </si>
  <si>
    <t>Kim, Ye-Ji; Lee, Jei Ha; Jung, Seung-Hyun; Kim, Ki Hyun; Choi, Chang-Hoon; Jo, Seonmi; Woo, Dong Ho</t>
  </si>
  <si>
    <t>An Octopus-Derived Peptide with Antidiuretic Activity in Rats</t>
  </si>
  <si>
    <t>cephalotocin; octopressin; antidiuretic; octopus; vasopressin</t>
  </si>
  <si>
    <t>OXYTOCIN RECEPTOR; PHARMACOLOGICAL CHARACTERIZATION; VASOPRESSIN RECEPTOR; V-2 RECEPTOR; PHARMACOKINETICS; DESMOPRESSIN; ANTAGONISTS; EXPRESSION; PHYSIOLOGY; AGONISTS</t>
  </si>
  <si>
    <t>Discovering new drug candidates with high efficacy and few side effects is a major challenge in new drug development. The two evolutionarily related peptides oxytocin (OXT) and arginine vasopressin (AVP) are known to be associated with a variety of physiological and psychological processes via the association of OXT with three types of AVP receptors. Over decades, many synthetic analogs of these peptides have been designed and tested for therapeutic applications; however, only a few studies of their natural analogs have been performed. In this study, we investigated the bioactivity and usefulness of two natural OXT/AVP analogs that originate from the marine invertebrate Octopus vulgaris, named octopressin (OTP) and cephalotocin (CPT). By measuring the intracellular Ca2+ or cyclic AMP increase in each OXT/AVP receptor subtype-overexpressing cell, we found that CPT, but not OTP, acts as a selective agonist of human AVP type 1b and 2 receptors. This behavior is reminiscent of desmopressin, the most widely prescribed antidiuretic drug in the world. Similar to the case for desmopressin, a single intravenous tail injection of CPT into Sprague-Dawley rats reduced urine output and increased urinary osmolality. In conclusion, we suggest that CPT has a significant antidiuretic effect and that CPT might be beneficial for treating urological conditions such as nocturia, enuresis, and diabetes insipidus.</t>
  </si>
  <si>
    <t>[Kim, Ye-Ji; Choi, Chang-Hoon; Woo, Dong Ho] Korea Inst Toxicol, Res Ctr Convergence Toxicol, Daejeon 34114, South Korea; [Kim, Ye-Ji; Woo, Dong Ho] Univ Sci &amp; Technol, Human &amp; Environm Toxicol, Daejeon 34114, South Korea; [Lee, Jei Ha; Jung, Seung-Hyun; Kim, Ki Hyun; Jo, Seonmi] Natl Marine Biodivers Inst Korea, Dept Genet Resources, Seocheon 33662, South Korea</t>
  </si>
  <si>
    <t>Woo, DH (corresponding author), Korea Inst Toxicol, Res Ctr Convergence Toxicol, Daejeon 34114, South Korea.;Woo, DH (corresponding author), Univ Sci &amp; Technol, Human &amp; Environm Toxicol, Daejeon 34114, South Korea.;Jo, S (corresponding author), Natl Marine Biodivers Inst Korea, Dept Genet Resources, Seocheon 33662, South Korea.</t>
  </si>
  <si>
    <t>yeji.kim@kitox.re.kr; jeiha@mabik.re.kr; zebrajung@mabik.re.kr; tjckkh@naver.com; cchcom@kitox.re.kr; joseonmi@mabik.re.kr; dongho.woo@kitox.re.kr</t>
  </si>
  <si>
    <t>National Marine Biodiversity Institute (MABIK) Research Program [2022M00400]; Collaborative Genome Program of the Korea Institute of Marine Science and Technology Promotion (KIMST) - Ministry of Oceans and Fisheries (MOF) [20180430]; Ministry of Food and Drug Safety [20182MFDS423]</t>
  </si>
  <si>
    <t>National Marine Biodiversity Institute (MABIK) Research Program; Collaborative Genome Program of the Korea Institute of Marine Science and Technology Promotion (KIMST) - Ministry of Oceans and Fisheries (MOF)(Korea Institute of Marine Science &amp; Technology Promotion (KIMST)Ministry of Oceans &amp; Fisheries (MOF), Republic of Korea); Ministry of Food and Drug Safety(Ministry of Food &amp; Drug Safety (MFDS), Republic of Korea)</t>
  </si>
  <si>
    <t>This work was supported by grants from the National Marine Biodiversity Institute (MABIK) Research Program (No. 2022M00400 to SJ), grants from the Collaborative Genome Program of the Korea Institute of Marine Science and Technology Promotion (KIMST) funded by the Ministry of Oceans and Fisheries (MOF) (No. 20180430 to DHW) and grants from the Safety evaluation technology development from the Ministry of Food and Drug Safety in 2022 (No. 20182MFDS423 to DHW).</t>
  </si>
  <si>
    <t>10.3390/md20050328</t>
  </si>
  <si>
    <t>WOS:000801375000001</t>
  </si>
  <si>
    <t>Varra, MO; Ghidini, S; Fabrile, MP; Ianieri, A; Zanardi, E</t>
  </si>
  <si>
    <t>Varra, Maria Olga; Ghidini, Sergio; Fabrile, Maria Pia; Ianieri, Adriana; Zanardi, Emanuela</t>
  </si>
  <si>
    <t>Country of origin label monitoring of musky and common octopuses (Eledone spp. and Octopus vulgaris) by means of a portable near-infrared spectroscopic device</t>
  </si>
  <si>
    <t>Rapid methods; Machine learning; Chemometrics; Food authenticity; Geographical origin; Cephalopods</t>
  </si>
  <si>
    <t>POLYCYCLIC AROMATIC-HYDROCARBONS; FOOD; AUTHENTICATION; BIOMARKERS; MULTIVARIATE; CEPHALOPODS; QUALITY; RISKS</t>
  </si>
  <si>
    <t>Modern analytical techniques using miniaturized and portable near infrared (NIR) spectroscopy instruments are particularly suited for assessing the authenticity of fishery products since meeting the requirements of rapidity, eco-friendliness, cost-effectiveness, and easiness of application. The objective of the present study was to verify the suitability of use of a portable and ultra-compact NIR spectrometer combined with machine learning to characterize the geographic origin of two octopus species. Replicate NIR spectra (908.1-1676.2 nm) of 118 musky and 29 common octopus specimens (Eledone spp. and Octopus vulgaris) from Portuguese Atlantic or Spanish Mediterranean fishing areas were recorded, pre-processed and elaborated via the following classification algorithms: orthogonal partial least square discriminant analysis (OPLS-DA), logistic regression (LR), random forest (RF), support vector machine (SVM), and multilayer perceptron-artificial neural network (MLP-ANN). When 7-fold cross validation was performed on 75% of data, the results showed that linear tools (OPLS-DA and LR) were the most powerful and stable techniques in recognizing the origin of both octopus species (mean sensitivity, specificity, accuracy, and precision values above 98%). During the external validation phase OPLSDA, SVM, and MLP-ANN performed better for common octopuses, while LR and MLP-ANN for musky octopuses. The achieved outcomes suggest the combination of portable NIR spectroscopy and machine learning as a promising plan of action to be adopted for the creation of an integrated analytical platform with capabilities for automated data recording, processing, and reporting, which may be helpful for on-site and in-line monitoring of fishery products.</t>
  </si>
  <si>
    <t>[Varra, Maria Olga; Ghidini, Sergio; Fabrile, Maria Pia; Ianieri, Adriana; Zanardi, Emanuela] Univ Parma, Dept Food &amp; Drug, Str Taglio 10, I-43126 Parma, Italy</t>
  </si>
  <si>
    <t>University of Parma</t>
  </si>
  <si>
    <t>Zanardi, E (corresponding author), Univ Parma, Dept Food &amp; Drug, Str Taglio 10, I-43126 Parma, Italy.</t>
  </si>
  <si>
    <t>emanuela.zanardi@unipr.it</t>
  </si>
  <si>
    <t>10.1016/j.foodcont.2022.109052</t>
  </si>
  <si>
    <t>APR 2022</t>
  </si>
  <si>
    <t>WOS:000797185800003</t>
  </si>
  <si>
    <t>White, DM; Valsamidis, MA; Bakopoulos, V</t>
  </si>
  <si>
    <t>White, Daniella-Mari; Valsamidis, Michail-Aggelos; Bakopoulos, Vasileios</t>
  </si>
  <si>
    <t>In vitro hemocyte phagocytosis activation after experimental infection of common octopus, Octopus vulgaris (Cuvier, 1797) with Photobacterium damselae subsp. piscicida or Vibrio alginolyticus at different temperatures and infection routes</t>
  </si>
  <si>
    <t>Octopus vulgaris; Phagocytosis; Hemocyte activation; Photobacterium damselae subsp; piscicida; Vibrio alginolyticus</t>
  </si>
  <si>
    <t>STRESS-INDUCED NEUROENDOCRINE; RUDITAPES-PHILIPPINARUM; CRASSOSTREA-VIRGINICA; IMMUNE-RESPONSE; SPARUS-AURATA; MOLLUSCA; STRAINS; CELLS; CEPHALOPODA; PARAMETERS</t>
  </si>
  <si>
    <t>Due to the fast growth rate, the short life cycle, the high market price and the high food conversion efficiency, O. vulgaris is considered as a good candidate for aquaculture. One of the prerequisites for the successful integration of new species, such as octopi, into industrial-scale production, is the knowledge of the pathological conditions that may arise, with emphasis on infectious diseases caused by microorganisms and para-sites transmitted through wild populations, especially for the farmed organisms cul-tured in cages in proximity to teleost fish. The main objectives of this study were to investigate the sensitivity of common octopus to experimental infection with pathogenic bacteria, to assess the activation of hemocytes and more specifically their phagocytic activity after infection and to associate sensitivity of the species and phagocytic activity of hemocytes to temperature changes, route of infection and pathogen. Common octopus individuals were intramuscularly and intravenously infected with either Photobacterium damselae subsp. piscicida or Vibrio alginolyticus. The hemocyte phagocytosis activation in vitro at two temperatures (21 +/- 0.5 degrees C and 24 +/- 0.5 degrees C) was studied, in an effort to relate these aspects to climate change. Hemolymph was withdrawn on days 0, 3 and 7 post infections/injections. Number of circulating hemocytes/ml hemolymph, phagocytosis ability and Phagocytosis Particle Binding Intensity index were determined. Correlations between hemocytes and bodyweight and between hemocytes and phagocytosis ability were also determined. No mortalities were recorded irrespective of pathogen, route of infection and temperature employed. Circulating hemocytes in control specimens ranged between 1.60x105 hemocytes ml 1 hemolymph to 20.02x105 hemocytes/ml hemolymph at both experiments and temperatures. The interrelation between octopi weight and circulating hemocytes showed that natural fluctuations, age, maturity stage and temperature may affect this relationship. Rise of temperature influenced phagocytosis which seemed to be route of infection, time-point and pathogen related. Specimens infected with Photobacterium damselae subsp. piscicida showed decreased phagocytosis with rise of temperature while when Vibrio alginolyticus was used, phagocytosis activity increased, in most cases. Temperature also played an important role in the correlation between the circulating hemocytes and phagocytosis activity, as at lower temperatures a negative strong correlation was observed. The results prompted us to calculate the activation index. This index showed that temperature is an important factor in hemocyte activation since for Photobacterium damselae subsp. piscicida infected specimens, hemocytes were more activated at 21 +/- 0.5 degrees C instead of 24 +/- 0.5 degrees C, and the opposite observed for Vibrio alginolyticus samples and only later postinfection. Comparing the phagocytosis ability results with those obtained from Particle Binding Intensity index important differences concerned mainly confidence levels. The use of phagocytosis ability instead of PBI index provides more accurate results.</t>
  </si>
  <si>
    <t>[White, Daniella-Mari; Valsamidis, Michail-Aggelos; Bakopoulos, Vasileios] Univ Aegean, Sch Environm, Dept Marine Sci, Univ Hill, GR-81100 Mitilini, Lesvos, Greece</t>
  </si>
  <si>
    <t>White, DM (corresponding author), Univ Aegean, Sch Environm, Dept Marine Sci, Univ Hill, GR-81100 Mitilini, Lesvos, Greece.</t>
  </si>
  <si>
    <t>European Union (European Social Fund-ESF) through the Operational Programme Human Resources Development, Education and Lifelong Learning [MIS 5004276]</t>
  </si>
  <si>
    <t>European Union (European Social Fund-ESF) through the Operational Programme Human Resources Development, Education and Lifelong Learning</t>
  </si>
  <si>
    <t>This research is co-financed by Greece and the European Union (European Social Fund-ESF) through the Operational Programme Human Resources Development, Education and Lifelong Learning 2014-2020 in the context of the project Effect of climate change on the infectiousness of pathogenic microorganisms and the physiology of sensitive host aquatic organisms (MIS 5004276). We would like to thank Associate Professor Georgios D. Kokkoris for the valuable advice and help in statistics.</t>
  </si>
  <si>
    <t>10.1016/j.jip.2022.107754</t>
  </si>
  <si>
    <t>WOS:000795749800002</t>
  </si>
  <si>
    <t>Duarte, B; Carreiras, J; Mamede, R; Duarte, IA; Caçador, I; Reis-Santos, P; Vasconcelos, RP; Gameiro, C; Rosa, R; Tanner, SE; Fonseca, VF</t>
  </si>
  <si>
    <t>Duarte, Bernardo; Carreiras, Joao; Mamede, Renato; Duarte, Irina A.; Cacador, Isabel; Reis-Santos, Patrick; Vasconcelos, Rita P.; Gameiro, Carla; Rosa, Rui; Tanner, Susanne E.; Fonseca, Vanessa F.</t>
  </si>
  <si>
    <t>Written in ink: Elemental signatures in octopus ink successfully trace geographical origin</t>
  </si>
  <si>
    <t>Seafood safety; Provenance; Traceability tools; Multi-elemental signature; Cephalopods; Chemometrics</t>
  </si>
  <si>
    <t>BIOCHEMICAL-COMPOSITION; STABLE-ISOTOPE; VULGARIS; TRACEABILITY; CLASSIFICATION; MULTIELEMENT; FOOD; CHEMISTRY; SEDIMENT; MOLLUSCA</t>
  </si>
  <si>
    <t>In recent years, validation of seafood authenticity and provenance has attracted the attention of authorities and consumers. Increasing levels of food fraud has raised awareness regarding seafood traceability, especially in highly valuable and highly consumed seafood products, such as the common octopus (Octopus vulgaris). Seafood traceability studies based on trace element fingerprinting generally focus on muscle tissues or carbonate struc-tures whilst the ink fluid has been overlooked. Untargeted multi-element Total Reflection X-ray Fluorescence (TXRF) analysis of O. vulgaris ink successfully discriminated four collection areas [91.2 % and 84.1 % using Variable Importance in Projection Partial Least-Squares Discriminant Analysis (VIP-PLS-DA) and Linear Discriminant Analysis (LDA), respectively] along the mainland Portuguese coast (ca. 900 km coast in the Northeast Atlantic). Arsenic, Pb, Na, Sr and Rb were highlighted as elements with higher contributions for sample discrimination between the four considered capture areas. Regarding food safety, it is important to note that some ink samples Cu, Mn and Pb concentrations exceeded human consumption recommended values. Thus, the results show that untargeted TXRF spectroscopy analysis of O. vulgaris ink is a reliable tool for disentangling the geographical origin of the octopus, as well as to inform about the food safety of octopus ink.</t>
  </si>
  <si>
    <t>[Duarte, Bernardo; Carreiras, Joao; Mamede, Renato; Duarte, Irina A.; Cacador, Isabel; Tanner, Susanne E.; Fonseca, Vanessa F.] Univ Lisbon, MARE Marine &amp; Environm Sci Ctr, Fac Ciencias, P-1749016 Lisbon, Portugal; [Duarte, Bernardo; Cacador, Isabel] Univ Lisbon, Dept Biol Vegetal, Fac Ciencias, P-1749016 Lisbon, Portugal; [Reis-Santos, Patrick] Univ Adelaide, Sch Biol Sci, Southern Seas Ecol Labs, Adelaide, SA 5005, Australia; [Vasconcelos, Rita P.; Gameiro, Carla] IPMA Inst Portugues Mar &amp; Atmosfera, Av Dr Alfredo Magalhaes Ramalho 6, P-1495165 Alges, Portugal; [Rosa, Rui] Univ Lisbon, MARE Marine &amp; Environm Sci Ctr, Lab Maritimo Guia, Fac Ciencias, Ave Nossa Senhora Cabo, Cascais, Portugal; [Rosa, Rui; Tanner, Susanne E.; Fonseca, Vanessa F.] Univ Lisbon, Dept Biol Anim, Fac Ciencias, P-1749016 Lisbon, Portugal</t>
  </si>
  <si>
    <t>Universidade de Lisboa; Universidade de Lisboa; University of Adelaide; Adelaide University; University of Adelaide; Instituto Portugues do Mar e da Atmosfera; Universidade de Lisboa; Universidade de Lisboa</t>
  </si>
  <si>
    <t>Duarte, B (corresponding author), Univ Lisbon, MARE Marine &amp; Environm Sci Ctr, Fac Ciencias, P-1749016 Lisbon, Portugal.</t>
  </si>
  <si>
    <t>Fundacao para a Ciencia e a Tecnologia (FCT) [UIDB/04292/2020]; MAR2020 program via the Project MarCODE [MAR-01.03.01-FEAMP-0047]; FCT [CEECIND/00511/2017, DL57/2016/CP1479/CT0022, 2021.02710.CEECIND, DL57/2016/CP1479/CT0024, 2021.00244.CEECIND]; Programa Nacional de Amostragem Biologica' (EU)</t>
  </si>
  <si>
    <t>Fundacao para a Ciencia e a Tecnologia (FCT)(Fundacao para a Ciencia e a Tecnologia (FCT)); MAR2020 program via the Project MarCODE; FCT(Fundacao para a Ciencia e a Tecnologia (FCT)); Programa Nacional de Amostragem Biologica' (EU)</t>
  </si>
  <si>
    <t>The authors would like to thank Fundacao para a Ciencia e a Tecnologia (FCT) for funding the research via the grant UIDB/04292/2020. Work was also funded by MAR2020 program via the Project MarCODE (MAR-01.03.01-FEAMP-0047). B. Duarte (CEECIND/00511/2017), S.E. Tanner (DL57/2016/CP1479/CT0022 and 2021.02710.CEECIND) and V. Fonseca (DL57/2016/CP1479/CT0024 and 2021.00244.CEECIND) were supported by FCT research contracts. R. P. Vasconcelos and C. Gameiro were funded by Programa Nacional de Amostragem Biologica' (EU Data Collection Framework). The authors would like to thank scientific observers of 'Programa Nacional de Amostragem Biologica' from IPMA for their collaboration in collection of biological samples.</t>
  </si>
  <si>
    <t>10.1016/j.jfca.2022.104479</t>
  </si>
  <si>
    <t>MAR 2022</t>
  </si>
  <si>
    <t>WOS:000790436000011</t>
  </si>
  <si>
    <t>Lee, YM; Lee, GY; Kim, HY</t>
  </si>
  <si>
    <t>Lee, Yu-Min; Lee, Ga-Young; Kim, Hae-Yeong</t>
  </si>
  <si>
    <t>Development of a multiplex PCR assay for the simultaneous detection of big blue octopus (Octopus cyanea), giant Pacific octopus (Enteroctopus dofleini), and common octopus (Octopus vulgaris)</t>
  </si>
  <si>
    <t>FOOD SCIENCE AND BIOTECHNOLOGY</t>
  </si>
  <si>
    <t>Big blue octopus; Giant Pacific octopus; Common octopus; Multiplex PCR; Species identification</t>
  </si>
  <si>
    <t>SIMULTANEOUS IDENTIFICATION; SQUIDS; FINS; DUCK; LOLIGINIDAE; VALIDATION; CHICKEN; RFLP</t>
  </si>
  <si>
    <t>Since octopuses are similar in appearance and can be processed into various forms, seafood fraud has been reported. In this study, we developed the PCR assay to simultaneously detect three octopuses (big blue octopus, giant Pacific octopus, and common octopus). Specific primer sets were designed based on COI gene. We observed that the specific PCR amplicon sizes were 84 bp for big blue octopus, 117 bp for giant Pacific octopus, and 166 bp for common octopus, respectively. This assay was then used to test for specificity and did not show cross-reactivity with 15 cephalopods families. The limit of detection of the multiplex PCR assay was 0.1 pg. Subsequently, 30 commercial food products were then monitored to evaluate the applicability of this assay. All products were specifically amplified, and three octopus species of interest were distinguished. Therefore, this assay can be used as an octopus authentication tool in the seafood industry.</t>
  </si>
  <si>
    <t>[Lee, Yu-Min; Lee, Ga-Young; Kim, Hae-Yeong] Kyung Hee Univ, Inst Life Sci &amp; Resources, Yongin 17104, South Korea; [Lee, Yu-Min; Lee, Ga-Young; Kim, Hae-Yeong] Kyung Hee Univ, Dept Food Sci &amp; Biotechnol, Yongin 17104, South Korea</t>
  </si>
  <si>
    <t>Kyung Hee University; Kyung Hee University</t>
  </si>
  <si>
    <t>Kim, HY (corresponding author), Kyung Hee Univ, Inst Life Sci &amp; Resources, Yongin 17104, South Korea.;Kim, HY (corresponding author), Kyung Hee Univ, Dept Food Sci &amp; Biotechnol, Yongin 17104, South Korea.</t>
  </si>
  <si>
    <t>hykim@khu.ac.kr</t>
  </si>
  <si>
    <t>Ministry of Food and Drug Safety in Korea [17162MFDS065]</t>
  </si>
  <si>
    <t>Ministry of Food and Drug Safety in Korea(Ministry of Food &amp; Drug Safety (MFDS), Republic of Korea)</t>
  </si>
  <si>
    <t>This research was supported by the Ministry of Food and Drug Safety in Korea, grant number 17162MFDS065.</t>
  </si>
  <si>
    <t>10.1007/s10068-022-01051-w</t>
  </si>
  <si>
    <t>WOS:000764914400001</t>
  </si>
  <si>
    <t>Qiu, JY; Zheng, LB; Chi, CF</t>
  </si>
  <si>
    <t>Qiu, Jia-yin; Zheng, Li-bing; Chi, Chang-feng</t>
  </si>
  <si>
    <t>Identification, Characterization, and Expression of a PRQFVamide-Related Peptide in Cephalopod Sepiella japonica</t>
  </si>
  <si>
    <t>neuropeptide; Sepiella japonica; cuttlefish; cephalopod; PRQFVamide-related peptide</t>
  </si>
  <si>
    <t>NERVOUS-SYSTEM; NEUROPEPTIDE; CUTTLEFISH; BRAIN; OCTOPUS; GENE; LOCALIZATION; PATTERN; CLONING; ADULT</t>
  </si>
  <si>
    <t>Neuropeptides, as neurotransmitters and neuromodulators, have a variety of physiological functions in the mollusk. Here, a PRQFVamide-related peptide gene was cloned from cuttlefish Sepiella japonica (designated as SjPRQFVRP, GenBank Accession No: ). The full length of SjPRQFVRP is 1748 bp, including an open reading frame (ORF) of 738 bp encoding 245 amino acids. The putative precursor protein comprises one signal peptide and four different mature pentapeptides: fourteen copies of PMEFLamide, three copies of RMEFLamide, one copy of AMEFLamide and GMEFLamide. Multiple alignments showed SjPRQFVRP shared 71% identity with that of Octopus vulgaris and supported the phylogenetic analysis. The spatio-temporal expression pattern showed that SjPRQFVRP mRNA was widely expressed among the 13 tissues and primarily abundantly expressed in the brain and optic lobe during the whole development stage. In situ hybridization data indicated that SjPRQFVRP was detected in the vertical lobe, subvertical lobe, anterior basal lobe, anterior pedal lobe, and optic lobes of the brain. Subcellular localization analysis revealed that the SjPRQFVRP protein was localized in the cytoplasm of HEK293 cells. Collectively, the results will provide a foundation for further exploring the mechanism of SjPRQFVRP function in cephalopods.</t>
  </si>
  <si>
    <t>[Qiu, Jia-yin; Zheng, Li-bing; Chi, Chang-feng] Zhejiang Ocean Univ, Natl &amp; Prov Joint Lab Explorat &amp; Utilizat Marine, Natl Engn Res Ctr Marine Fac Aquaculture, Sch Marine Sci &amp; Technol, Zhoushan, Peoples R China</t>
  </si>
  <si>
    <t>Zhejiang Ocean University</t>
  </si>
  <si>
    <t>Zheng, LB; Chi, CF (corresponding author), Zhejiang Ocean Univ, Natl &amp; Prov Joint Lab Explorat &amp; Utilizat Marine, Natl Engn Res Ctr Marine Fac Aquaculture, Sch Marine Sci &amp; Technol, Zhoushan, Peoples R China.</t>
  </si>
  <si>
    <t>zhenglb@zjou.edu.cn; chichangfeng@hotmail.com</t>
  </si>
  <si>
    <t>National Natural Science Foundation of China (NSFC) [31872547]; Natural Science Foundation of Zhejiang Province, China [LY20C190007]</t>
  </si>
  <si>
    <t>National Natural Science Foundation of China (NSFC)(National Natural Science Foundation of China (NSFC)); Natural Science Foundation of Zhejiang Province, China(Natural Science Foundation of Zhejiang Province)</t>
  </si>
  <si>
    <t>This work was supported by the National Natural Science Foundation of China (NSFC; No. 31872547) and Natural Science Foundation of Zhejiang Province, China (LY20C190007).</t>
  </si>
  <si>
    <t>10.3389/fmars.2022.805209</t>
  </si>
  <si>
    <t>WOS:000797783000001</t>
  </si>
  <si>
    <t>Zullo, L; Di Clemente, A; Maiole, F</t>
  </si>
  <si>
    <t>Zullo, Letizia; Di Clemente, Alessio; Maiole, Federica</t>
  </si>
  <si>
    <t>How octopus arm muscle contractile properties and anatomical organization contribute to arm functional specialization</t>
  </si>
  <si>
    <t>Muscle biomechanics; Octopus; Motor control; Invertebrate muscles; Muscular hydrostat; Force-length relationship</t>
  </si>
  <si>
    <t>MOTOR CONTROL; DIFFERENTIAL ACTIVATION; CEPHALOPODS; MOVEMENTS; SYSTEM; MANTLE; RANGE; FORCE</t>
  </si>
  <si>
    <t>Octopus arms are highly flexible structures capable of complex motions and are used in a wide repertoire of behaviors. Movements are generated by the coordinated summation of innervation signals to packed arrays of muscles oriented in different directions and moving based on their anatomical relationships. In this study, we investigated the interplay between muscle biomechanics and anatomical organization in the Octopus vulgaris arm to elucidate their role in different arm movements. We performed isometric and isotonic force measurements on isolated longitudinal and transverse arm muscles and showed that longitudinal muscles have a higher rate of activation and relaxation, lower twitch-to-tetanus ratio and lower passive tension than transverse muscles, thus prompting their use as faster and slower muscles, respectively. This points to the use of longitudinal muscles in more graded responses, such as those involved in precise actions, and transverse muscles in intense and sustained actions, such as motion stabilization and posture maintenance. Once activated, the arm muscles exert forces that cause deformations of the entire arm, which are determined by the amount, location, properties and orientation of their fibers. Here, we show that, although continuous, the arm manifests a certain degree of morphological specialization, where the arm muscles have a different aspect ratio along the arm. This possibly supports the functional specialization of arm portions observed in various motions, such as fetching and crawling. Hence, the octopus arm as a whole can be seen as a `reservoir' of possibilities where different types of motion may emerge at the limb level through the co-option of the muscle contractile properties and structural arrangement.</t>
  </si>
  <si>
    <t>[Zullo, Letizia; Di Clemente, Alessio; Maiole, Federica] Ist Italian Tecnol, Ctr MicroBioRobot, Largo Rosanna Benzi 10, I-16132 Genoa, Italy; [Zullo, Letizia; Di Clemente, Alessio; Maiole, Federica] Ist Italian Tecnol, Ctr Synapt Neurosci &amp; Technol NSYN, Largo Rosanna Benzi 10, I-16132 Genoa, Italy; [Zullo, Letizia] Osped Policlin San Martino, IRCSS, Largo Rosanna Benzi 10, I-16132 Genoa, Italy; [Di Clemente, Alessio; Maiole, Federica] Univ Genoa, Dept Expt Med, Viale Benedetto XV 3, I-16132 Genoa, Italy</t>
  </si>
  <si>
    <t>Istituto Italiano di Tecnologia - IIT; Istituto Italiano di Tecnologia - IIT; University of Genoa</t>
  </si>
  <si>
    <t>Zullo, L (corresponding author), Ist Italian Tecnol, Ctr MicroBioRobot, Largo Rosanna Benzi 10, I-16132 Genoa, Italy.;Zullo, L (corresponding author), Ist Italian Tecnol, Ctr Synapt Neurosci &amp; Technol NSYN, Largo Rosanna Benzi 10, I-16132 Genoa, Italy.;Zullo, L (corresponding author), Osped Policlin San Martino, IRCSS, Largo Rosanna Benzi 10, I-16132 Genoa, Italy.</t>
  </si>
  <si>
    <t>letizia.zullo@iit.it</t>
  </si>
  <si>
    <t>Seventh Framework Programme (OCTOPUS IP) [FP7-231608]; European Cooperation in Science and Technology [FA 1301]; Office of Naval Research [N0001421-1-2516]</t>
  </si>
  <si>
    <t>Seventh Framework Programme (OCTOPUS IP)(European Union (EU)); European Cooperation in Science and Technology(European Cooperation in Science and Technology (COST)); Office of Naval Research(United States Department of DefenseUnited States NavyOffice of Naval Research)</t>
  </si>
  <si>
    <t>This work was supported by the Seventh Framework Programme (OCTOPUS IP, Project Number FP7-231608), European Cooperation in Science and Technology (FA 1301 CephsInAction), and Office of Naval Research (award number N0001421-1-2516).</t>
  </si>
  <si>
    <t>jeb243163</t>
  </si>
  <si>
    <t>10.1242/jeb.243163</t>
  </si>
  <si>
    <t>WOS:000777476400007</t>
  </si>
  <si>
    <t>Quantitation of Water Addition in Octopus Using Time Domain Reflectometry (TDR): Development of a Rapid and Non-Destructive Food Analysis Method</t>
  </si>
  <si>
    <t>rapid methods; dielectric properties; conformity; cephalopods; adulteration; quality control</t>
  </si>
  <si>
    <t>QUALITY; VULGARIS; SEAFOOD; PREDICTION</t>
  </si>
  <si>
    <t>A rapid and non-destructive method based in time domain reflectometry analysis (TDR), which detects and quantifies the water content in the muscle, was developed for the control of abusive water addition to octopus. Common octopus samples were immersed in freshwater for different periods (0.5-32 h) to give a wide range of moisture contents, representing different commercial conditions. Control and water-added octopus were analyzed with a TDR sensor, and data correlated with moisture content were used for calibration and method validation. A maximum limit of moisture content of 85.2 g/100 g in octopus is proposed for conformity assessment, unless the label indicates that water (&gt;5%) was added. Calibration results showed that TDR analysis can discriminate control and water-added octopus, especially for octopus immersed for longer periods (32 h). In addition, moisture content can be quantified in octopus using only TDR analysis (between 80 and 90 g /100 g; RMSE = 1.1%). TDR data and correlation with moisture content show that this non-destructive methodology can be used by the industry and quality control inspections for assessment of octopus quality and to verify compliance with legislation, promoting fair trade practices, and further contributing to a sustainable use of resources.</t>
  </si>
  <si>
    <t>[Teixeira, Barbara; Vieira, Helena; Martins, Sandra; Mendes, Rogerio] Portuguese Inst Sea &amp; Atmosphere, Dept Sea &amp; Marine Resources, Ave Doutor Alfredo Magalhaes Ramalho 6, P-1495165 Alges, Portugal; [Teixeira, Barbara; Martins, Sandra; Mendes, Rogerio] Univ Porto, Interdisciplinary Ctr Marine &amp; Environm Res CIIMA, Rua Bragas 289, P-4050123 Porto, Portugal; [Teixeira, Barbara] Aveiro Univ, Res Unit Organ Chem Nat &amp; Agrofood Prod, Campus Univ Santiago, P-3810193 Aveiro, Portugal</t>
  </si>
  <si>
    <t>Instituto Portugues do Mar e da Atmosfera; Universidade do Porto; Universidade de Aveiro</t>
  </si>
  <si>
    <t>Teixeira, B (corresponding author), Portuguese Inst Sea &amp; Atmosphere, Dept Sea &amp; Marine Resources, Ave Doutor Alfredo Magalhaes Ramalho 6, P-1495165 Alges, Portugal.;Teixeira, B (corresponding author), Univ Porto, Interdisciplinary Ctr Marine &amp; Environm Res CIIMA, Rua Bragas 289, P-4050123 Porto, Portugal.;Teixeira, B (corresponding author), Aveiro Univ, Res Unit Organ Chem Nat &amp; Agrofood Prod, Campus Univ Santiago, P-3810193 Aveiro, Portugal.</t>
  </si>
  <si>
    <t>project SeaTraces: Smart Traceability and Labeling Toolbox for a Sustainable Seafood Production (Interreg Atlantic Area Programme) [EAPA_87/2016]; project SEAFOOD-AGE: Smart and eco-innovative SEAFOOD processes and products for healthy AGEing (Interreg Atlantic Area Programme) [EAPA_758/2018]</t>
  </si>
  <si>
    <t>project SeaTraces: Smart Traceability and Labeling Toolbox for a Sustainable Seafood Production (Interreg Atlantic Area Programme); project SEAFOOD-AGE: Smart and eco-innovative SEAFOOD processes and products for healthy AGEing (Interreg Atlantic Area Programme)</t>
  </si>
  <si>
    <t>This research work was supported by the projects SeaTraces: Smart Traceability and Labeling Toolbox for a Sustainable Seafood Production (Interreg Atlantic Area Programme, ref: EAPA_87/2016) and SEAFOOD-AGE: Smart and eco-innovative SEAFOOD processes and products for healthy AGEing (Interreg Atlantic Area Programme, ref: EAPA_758/2018).</t>
  </si>
  <si>
    <t>10.3390/foods11060791</t>
  </si>
  <si>
    <t>WOS:000775458300001</t>
  </si>
  <si>
    <t>Omedes, S; Andrade, M; Escolar, O; Villanueva, R; Freitas, R; Solé, M</t>
  </si>
  <si>
    <t>Omedes, S.; Andrade, M.; Escolar, O.; Villanueva, R.; Freitas, R.; Sole, M.</t>
  </si>
  <si>
    <t>B-esterases characterisation in the digestive tract of the common octopus and the European cuttlefish and their in vitro responses to contaminants of environmental concern</t>
  </si>
  <si>
    <t>ENVIRONMENTAL RESEARCH</t>
  </si>
  <si>
    <t>Carboxylesterases; Cholinesterases; Octopus vulgaris; Sepia officinalis; Chemicals of environmental concern; Plastic additives</t>
  </si>
  <si>
    <t>CARBOXYLESTERASE ACTIVITY; CHOLINESTERASE ACTIVITY; BIOMPHALARIA-GLABRATA; TISSUE DISTRIBUTION; AZINPHOS-METHYL; BIOMARKERS; ACETYLCHOLINESTERASE; VULGARIS; SENSITIVITY; INHIBITION</t>
  </si>
  <si>
    <t>Cephalopods are a group of marine invertebrates that have received little attention as sentinel species in comparison to other molluscs, such as bivalves. Consequently, their physiological and biochemical xenobiotic metabolism responses are poorly understood. Here we undertake a comparative analysis of the enzymatic activities involved in detoxification reactions and neural transmission in the digestive tract of two commercial cephalopods: the Common octopus, Octopus vulgaris, and the European cuttlefish, Sepia officinalis. For methodological purposes, several common B-esterases (five carboxylesterase (CE) substrates and three cholinesterase (ChE) determinations) were assayed as a proxy of metabolic and neuronal activities, respectively. Four components of the digestive tract in each species were considered: salivary glands, the stomach, the digestive gland and the caecum. The in vitro responses of digestive gland homogenates to model chemicals and contaminants of environmental concern were contrasted between both cephalopod species. The baseline biochemical activities in the four digestive tract components were also determined. Moreover, in order to validate the protocol, purified proteins, recombinant human CE (CE1 and CE2) and purified eel acetylcholinesterase (AChE) were included in the analysis. Overall, carboxylesterase activities were higher in octopus than in cuttlefish, with the activity quantified in the digestive tract components in the following order: digestive gland approximate to caecum &gt; stomach approximate to salivary glands, with higher hydrolysis rates reached with naphthyl-derived substrates. In contrast, cuttlefish hydrolysis rates with ChE substrates were higher than in octopus. This trend was also reflected in a higher sensitivity to CE inhibitors in octopus and to AChE inhibitors in cuttlefish. Given the detoxification character of CEs and its protective role preventing AChE inhibition, octopus could be regarded as more efficiently protected than cuttlefish from neurotoxic exposures. A full characterisation of B-esterases in the digestive tract of the two common cephalopods is also provided.</t>
  </si>
  <si>
    <t>[Omedes, S.; Escolar, O.; Villanueva, R.; Sole, M.] CSIC, Inst Ciencies Mar ICM, E-08003 Barcelona, Spain; [Andrade, M.; Freitas, R.] Univ Aveiro, Dept Biol, P-3810193 Aveiro, Portugal; [Andrade, M.; Freitas, R.] Univ Aveiro, CESAM, P-3810193 Aveiro, Portugal</t>
  </si>
  <si>
    <t>CSIC - Centro Mediterraneo de Investigaciones Marinas y Ambientales (CMIMA); Consejo Superior de Investigaciones Cientificas (CSIC); CSIC - Instituto de Ciencias del Mar (ICM); Universidade de Aveiro; Universidade de Aveiro</t>
  </si>
  <si>
    <t>Solé, M (corresponding author), CSIC, Inst Ciencies Mar ICM, E-08003 Barcelona, Spain.</t>
  </si>
  <si>
    <t>msole@icm.csic.es</t>
  </si>
  <si>
    <t>Severo Ochoa Centre of Excellence [CEX2019-000928-S]; Spanish Ministry of Science, Innovation and Universities (OCTOSET project) [RTI2018-097908-B-I00]; FCT/MCTES [UIDP/50017/2020+UIDB/50017/2020+ LA/P/0094/2020]; RED RIESCOS Evaluacion de los Efectos de los Contaminantes Emergentes en Organismos Acuaticos y sobre la Salud Humana, Programa Iberoamericano de Ciencia y Tecnologia para el Desarrollo (CYTED) [419RT0578]</t>
  </si>
  <si>
    <t>Severo Ochoa Centre of Excellence; Spanish Ministry of Science, Innovation and Universities (OCTOSET project); FCT/MCTES(Fundacao para a Ciencia e a Tecnologia (FCT)); RED RIESCOS Evaluacion de los Efectos de los Contaminantes Emergentes en Organismos Acuaticos y sobre la Salud Humana, Programa Iberoamericano de Ciencia y Tecnologia para el Desarrollo (CYTED)</t>
  </si>
  <si>
    <t>To the institutional support of the `Severo Ochoa Centre of Excellence' accreditation (CEX2019-000928-S). RV and OE were funded by the Spanish Ministry of Science, Innovation and Universities (OCTOSET project, RTI2018-097908-B-I00, MCIU/AEI/FEDER, EU). To CESAM by FCT/MCTES (UIDP/50017/2020+UIDB/50017/2020+ LA/P/0094/2020) and the RED RIESCOS Evaluacion de los Efectos de los Contaminantes Emergentes en Organismos Acuaticos y sobre la Salud Humana, Programa Iberoamericano de Ciencia y Tecnologia para el Desarrollo (CYTED) ref. 419RT0578.</t>
  </si>
  <si>
    <t>10.1016/j.envres.2022.112961</t>
  </si>
  <si>
    <t>FEB 2022</t>
  </si>
  <si>
    <t>Environmental Sciences; Public, Environmental &amp; Occupational Health</t>
  </si>
  <si>
    <t>Environmental Sciences &amp; Ecology; Public, Environmental &amp; Occupational Health</t>
  </si>
  <si>
    <t>WOS:000820127500008</t>
  </si>
  <si>
    <t>Varó, I; Prado-Alvarez, M; Ortea, I; Morales, AE; Garcia-Fernández, P; Domingues, P; Tur, R; Dios, S; Gestal, C</t>
  </si>
  <si>
    <t>Varo, Inmaculada; Prado-alvarez, Maria; Ortea, Ignacio; Morales, Amalia E.; Garcia-Fernandez, Pablo; Domingues, Pedro; Tur, Ricardo; Dios, Sonia; Gestal, Camino</t>
  </si>
  <si>
    <t>Proteogenomic Study of the Effect of an Improved Mixed Diet of Live Preys on the Aquaculture of Octopus vulgaris Paralarvae</t>
  </si>
  <si>
    <t>Octopus vulgaris; paralarvae; diet; proteomic; transcriptomic; growth; nutrition</t>
  </si>
  <si>
    <t>FATTY-ACID-COMPOSITION; CARBONIC-ANHYDRASE; LIPID DROPLETS; CEPHALOPODS; METABOLISM; SELECTION; PROTEINS; MUSCLE; VITELLOGENIN; ANNOTATION</t>
  </si>
  <si>
    <t>The common octopus is the most demanded cephalopod species for human consumption. Despite important advances realized recently, the main bottleneck for commercial production of the common octopus, Octopus vulgaris, is the mass mortality of paralarvae in the first 15-20 days post-hatching (dph), with the main responsible factors still unknown. Thus, the identification of the limiting culture factors is, therefore, crucial for their aquaculture. This study investigates proteomic and transcriptomic responses of octopus paralarvae fed on an improved live preys-mixed diet (M) compared to an Artemia-based (A) reference diet. M diet resulted in the highest paralarvae specific growth rate obtained to date under culture conditions. This is supported by most of the proteins and genes over-expressed in the M group being linked to the cell cycle and replication, production of structural components, and development of the nervous system. Furthermore, the differential nutritional regulation of several genes and proteins seems to indicate that, instead of fatty acids, the preferred fuels for cephalopods would be proteins and carbohydrates. Also, M diet provides a better nutrient balance, which has allowed carrying out this comparative study in paralarvae under optimal conditions at a more advanced stage of growth (20 dph) than in previous studies. Moreover, the paralarvae culture extended up to 40 dph showed for the first time a proper pre-settlement behavior.</t>
  </si>
  <si>
    <t>[Varo, Inmaculada] CSIC, Inst Acuicultura Torre Sal IATS, Castellon de La Plana, Spain; [Prado-alvarez, Maria; Garcia-Fernandez, Pablo; Dios, Sonia; Gestal, Camino] CSIC, Inst Invest Marinas IIM, Vigo, Spain; [Ortea, Ignacio] Inst Invest &amp; Innovac Biomed Cadiz INiBICA, Prote Unit, Cadiz, Spain; [Morales, Amalia E.] Univ Granada, Fac Ciencias, Dept Zool, Granada, Spain; [Domingues, Pedro; Tur, Ricardo] Ctr Oceanog Vigo, Inst Espanol Oceanog, Vigo, Spain</t>
  </si>
  <si>
    <t>Consejo Superior de Investigaciones Cientificas (CSIC); Consejo Superior de Investigaciones Cientificas (CSIC); CSIC - Instituto de Investigaciones Marinas (IIM); University of Granada; Spanish Institute of Oceanography</t>
  </si>
  <si>
    <t>Dios, S; Gestal, C (corresponding author), CSIC, Inst Invest Marinas IIM, Vigo, Spain.</t>
  </si>
  <si>
    <t>MCIN/AEI [AGL2017-89475-C2-1]; Innovation Galician Agency; CSIC</t>
  </si>
  <si>
    <t>MCIN/AEI(Spanish Government); Innovation Galician Agency; CSIC(Consejo Superior de Investigaciones Cientificas (CSIC))</t>
  </si>
  <si>
    <t>This work was part of the I+D+i grant AGL2017-89475-C2-1 -OCTOMICS, funded by MCIN/AEI/10.13039/501100011033. Funds will be also received for open access publication fees from a collaboration agreement between Innovation Galician Agency and CSIC (Program Agreement 2021-2022).</t>
  </si>
  <si>
    <t>FEB 17</t>
  </si>
  <si>
    <t>10.3389/fmars.2021.817701</t>
  </si>
  <si>
    <t>WOS:000771798200001</t>
  </si>
  <si>
    <t>Stern-Mentch, N; Winter, G; Belenky, M; Moroz, L; Hochner, B</t>
  </si>
  <si>
    <t>Stern-Mentch, Naama; Winter, Gabriela; Belenky, Michael; Moroz, Leonid; Hochner, Binyamin</t>
  </si>
  <si>
    <t>Neurotransmission and neuromodulation systems in the learning and memory network of Octopus vulgaris</t>
  </si>
  <si>
    <t>JOURNAL OF MORPHOLOGY</t>
  </si>
  <si>
    <t>acetylcholine; catecholamine; cephalopods; dopamine; evolution; GABA; glutamate; LTP; mollusks; neuromodulators; neuronal circuits; neuropeptides; neurotransmitters; nitric oxide; serotonin; synapse</t>
  </si>
  <si>
    <t>SYNTHASE RELATED METABOLITES; LONG-TERM POTENTIATION; NITRIC-OXIDE; VERTICAL LOBE; VISUAL-DISCRIMINATION; NERVOUS-SYSTEM; CHOLINE-ACETYLTRANSFERASE; SEPIA-OFFICINALIS; NITRERGIC NEURONS; L-GLUTAMATE</t>
  </si>
  <si>
    <t>The vertical lobe (VL) in the octopus brain plays an essential role in its sophisticated learning and memory. Early anatomical studies suggested that the VL is organized in a fan-out fan-in connectivity matrix comprising only three morphologically identified neuron types; input axons from the median superior frontal lobe (MSFL) innervating en passant millions of small amacrine interneurons (AMs), which converge sharply onto large VL output neurons (LNs). Recent physiological studies confirmed the feedforward excitatory connectivity; a glutamatergic synapse at the first MSFL-to-AM synaptic layer and a cholinergic AM-to-LNs synapse. MSFL-to-AMs synapses show a robust hippocampal-like activity-dependent long-term potentiation (LTP) of transmitter release. 5-HT, octopamine, dopamine and nitric oxide modulate short- and long-term VL synaptic plasticity. Here, we present a comprehensive histolabeling study to better characterize the neural elements in the VL. We generally confirmed glutamatergic MSFLs and cholinergic AMs. Intense labeling for NOS activity in the AMs neurites were in-line with the NO-dependent presynaptic LTP mechanism at the MSFL-to-AM synapse. New discoveries here reveal more heterogeneity of the VL neurons than previously thought. GABAergic AMs suggest a subpopulation of inhibitory interneurons in the first input layer. Clear gamma-amino butyric acid labeling in the cell bodies of LNs supported an inhibitory VL output, yet the LNs co-expressed FMRFamide-like neuropeptides, suggesting an additional neuromodulatory role of the VL output. Furthermore, a group of LNs was glutamatergic. A new cluster of cells organized as a deep nucleus showed rich catecholaminergic labeling and may play a role in intrinsic neuromodulation. In-situ hybridization and immunolabeling allowed characterization and localization of a rich array of neuropeptides and neuromodulators, likely involved in reward/punishment signals. This analysis of the fast transmission system, together with the newly found cellular elements, help integrate behavioral, physiological, pharmacological and connectome findings into a more comprehensive understanding of an efficient learning and memory network.</t>
  </si>
  <si>
    <t>[Stern-Mentch, Naama; Belenky, Michael; Hochner, Binyamin] Hebrew Univ Jerusalem, Silberman Inst Life Sci, Dept Neurobiol, Jerusalem, Israel; [Winter, Gabriela; Moroz, Leonid] Univ Florida, Dept Neurosci, Gainesville, FL 32610 USA; [Winter, Gabriela; Moroz, Leonid] Univ Florida, McKnight Brain Inst, Gainesville, FL USA; [Winter, Gabriela; Moroz, Leonid] Univ Florida, Whitney Lab Marine Biosci, Gainesville, FL USA; [Winter, Gabriela] Ocean Genome Atlas Project, San Francisco, CA USA</t>
  </si>
  <si>
    <t>Hebrew University of Jerusalem; State University System of Florida; University of Florida; University of Florida; State University System of Florida; University of Florida; University of Florida; State University System of Florida; University of Florida</t>
  </si>
  <si>
    <t>Hochner, B (corresponding author), Hebrew Univ Jerusalem, Silberman Inst Life Sci, Dept Neurobiol, Jerusalem, Israel.</t>
  </si>
  <si>
    <t>benny.hochner@mail.huji.ac.il</t>
  </si>
  <si>
    <t>Human Frontiers Science Program [RGP0060/2017]; Israel Sciences Foundation (ISF) [1425-2011, 1928-2015]; National Science Foundation [1146575 1557923 1548121 1645219]; United States -Israel Binational Science Foundation (BSF) [2007-407, 2011-466]; National Institute of Neurological Disorders and Stroke of the National Institutes of Health [R01NS114491]; National Institute of Neurological Disorders and Stroke [R01NS114491] Funding Source: NIH RePORTER</t>
  </si>
  <si>
    <t>Human Frontiers Science Program(Human Frontier Science Program); Israel Sciences Foundation (ISF)(Israel Science Foundation); National Science Foundation(National Science Foundation (NSF)); United States -Israel Binational Science Foundation (BSF)(US-Israel Binational Science Foundation); National Institute of Neurological Disorders and Stroke of the National Institutes of Health(United States Department of Health &amp; Human ServicesNational Institutes of Health (NIH) - USANIH National Institute of Neurological Disorders &amp; Stroke (NINDS)); National Institute of Neurological Disorders and Stroke(United States Department of Health &amp; Human ServicesNational Institutes of Health (NIH) - USANIH National Institute of Neurological Disorders &amp; Stroke (NINDS))</t>
  </si>
  <si>
    <t>Human Frontiers Science Program, Grant/Award Number: RGP0060/2017; Israel Sciences Foundation (ISF), Grant/Award Numbers: 1425-2011, 1928-2015; National Science Foundation, Grant/Award Number: 1146575 1557923 1548121 1645219; United States -Israel Binational Science Foundation (BSF), Grant/Award Numbers: 2007-407, 2011-466; National Institute of Neurological Disorders and Stroke of the National Institutes of Health, Grant/Award Number: R01NS114491</t>
  </si>
  <si>
    <t>10.1002/jmor.21459</t>
  </si>
  <si>
    <t>Anatomy &amp; Morphology</t>
  </si>
  <si>
    <t>WOS:000752521800001</t>
  </si>
  <si>
    <t>Issifu, I; Alava, JJ; Lam, VWY; Sumaila, UR</t>
  </si>
  <si>
    <t>Issifu, Ibrahim; Alava, Juan Jose; Lam, Vicky W. Y.; Sumaila, U. Rashid</t>
  </si>
  <si>
    <t>Impact of Ocean Warming, Overfishing and Mercury on European Fisheries: A Risk Assessment and Policy Solution Framework</t>
  </si>
  <si>
    <t>Europeans waters; climate change; overfishing; pollution; mercury</t>
  </si>
  <si>
    <t>POLYUNSATURATED FATTY-ACIDS; CLIMATE-CHANGE; GLOBAL OCEAN; FOOD WEBS; MARINE; METHYLMERCURY; EXPOSURE; ACIDIFICATION; VULNERABILITY; ECONOMICS</t>
  </si>
  <si>
    <t>Previous studies have shown that multiple-environmental stressors are expected to have significant and geographically differential impacts on the health and abundance of marine species. In this paper, we analyze the combined impacts of ocean warming, overfishing and mercury pollution in European waters by projecting the impacts of climatic and non-climate drivers on marine species in European waters. Our findings suggest that the impacts vary widely depending on different species and their mean temperature tolerance (MTT). We find for instance, that more than 5 temperate benthopelagic species including, bobtail squids (Sepiida) frogfishes (Lophius) great Atlantic scallop (Pecten maximus) red mullet (Mullus barbatus barbatus) and common octopus (Octopus vulgaris) are affected (i.e., weakens their resilience to climate change) by the increase in sea surface temperature (SST) under RCP 8.5 in 2050 and 2100. Mercury contamination was estimated to increase in some species (e.g., similar to 50% in swordfish), exceeding mercury consumption guideline thresholds (&gt;1 mg/kg). This negative impact may limit the capacity of fisheries and marine ecosystem to respond to the current climate induced pollution sensitivity. An implication of our study is that the international community should strengthen a global ban on mercury emissions under the mandate of the Minamata Convention, comparable to the United Nations framework for persistent organic pollutant emission sources. Ongoing global efforts aimed at minimizing carbon footprint and mercury emissions need to be enhanced in concert with a reduction in fishing intensity to maintain effective conservation measures that promote increased resilience of fisheries to climate change and other stressors.</t>
  </si>
  <si>
    <t>[Issifu, Ibrahim; Alava, Juan Jose; Lam, Vicky W. Y.; Sumaila, U. Rashid] Univ British Columbia, Inst Oceans &amp; Fisheries, Vancouver, BC, Canada; [Sumaila, U. Rashid] Univ British Columbia, Sch Publ Policy &amp; Global Affairs, Vancouver, BC, Canada</t>
  </si>
  <si>
    <t>University of British Columbia; University of British Columbia</t>
  </si>
  <si>
    <t>Issifu, I; Alava, JJ (corresponding author), Univ British Columbia, Inst Oceans &amp; Fisheries, Vancouver, BC, Canada.</t>
  </si>
  <si>
    <t>i.issifu@oceans.ubc.ca; j.alava@oceans.ubc.ca</t>
  </si>
  <si>
    <t>FEB 7</t>
  </si>
  <si>
    <t>10.3389/fmars.2021.770805</t>
  </si>
  <si>
    <t>WOS:000760666000001</t>
  </si>
  <si>
    <t>Imperadore, P; Galli, R; Winterhalder, MJ; Zumbusch, A; Uckermann, O</t>
  </si>
  <si>
    <t>Imperadore, Pamela; Galli, Roberta; Winterhalder, Martin J.; Zumbusch, Andreas; Uckermann, Ortrud</t>
  </si>
  <si>
    <t>Imaging Arm Regeneration: Label-Free Multiphoton Microscopy to Dissect the Process in Octopus vulgaris</t>
  </si>
  <si>
    <t>FRONTIERS IN CELL AND DEVELOPMENTAL BIOLOGY</t>
  </si>
  <si>
    <t>spontaneous functional regeneration; vibrational spectroscopy; label-free imaging; cephalopod mollusks; hemocytes; chromatophores</t>
  </si>
  <si>
    <t>IN-VIVO; ACETYLCHOLINESTERASE; CEPHALOPODS</t>
  </si>
  <si>
    <t>Cephalopod mollusks are endowed with an impressive range of features that have captured the attention of scientists from different fields, the imaginations of artists, and the interests of the public. The ability to spontaneously regrow lost or damaged structures quickly and functionally is among one of the most notable peculiarities that cephalopods possess. Microscopical imaging techniques represent useful tools for investigating the regenerative processes in several species, from invertebrates to mammals. However, these techniques have had limited use in cephalopods mainly due to the paucity of specific and commercially available markers. In addition, the commonly used immunohistochemical staining methods provide data that are specific to the antigens studied. New microscopical methods were recently applied to vertebrates to investigate regenerative events. Among them, multiphoton microscopy appears promising. For instance, it does not depend on species-related epitopes, taking advantage of the specific characteristics of tissues and allowing for its use in a species-independent way. Here, we illustrate the results obtained by applying this label-free imaging technique to the injured arm of Octopus vulgaris, a complex structure often subject to injury in the wild. This approach allowed for the characterization of the entire tissue arm architecture (muscular layers, nerve component, connective tissues, etc.) and elements usually hardly detectable (such as vessels, hemocytes, and chromatophores). More importantly, it also provided morpho-chemical information which helped decipher the regenerative phases after damage, from healing to complete arm regrowth, thereby appearing promising for regenerative studies in cephalopods and other non-model species.</t>
  </si>
  <si>
    <t>[Imperadore, Pamela] Dept Biol &amp; Evolut Marine Organisms, Naples, Italy; [Imperadore, Pamela] Assoc Cephalopod Res CephRes, Naples, Italy; [Galli, Roberta] Tech Univ Dresden, Clin Sensoring &amp; Monitoring Anesthesiol &amp; Intens, Dresden, Germany; [Galli, Roberta] Tech Univ Dresden, Fac Med Carl Gustav Carus, Med Phys &amp; Biomed Engn, Dresden, Germany; [Winterhalder, Martin J.; Zumbusch, Andreas] Univ Konstanz, Dept Chem, Constance, Germany; [Uckermann, Ortrud] Tech Univ Dresden, Univ Hosp Carl Gustav Carus, Dept Neurosurg, Dresden, Germany; [Uckermann, Ortrud] Tech Univ Dresden, Fac Med, Dresden, Germany; [Uckermann, Ortrud] Tech Univ Dresden, Univ Hosp Carl Gustav Carus, Dept Psychiat &amp; Psychotherapy, Div Med Biol, Dresden, Germany</t>
  </si>
  <si>
    <t>Technische Universitat Dresden; Technische Universitat Dresden; University of Konstanz; Technische Universitat Dresden; Carl Gustav Carus University Hospital; Technische Universitat Dresden; Technische Universitat Dresden; Carl Gustav Carus University Hospital</t>
  </si>
  <si>
    <t>Imperadore, P (corresponding author), Dept Biol &amp; Evolut Marine Organisms, Naples, Italy.;Imperadore, P (corresponding author), Assoc Cephalopod Res CephRes, Naples, Italy.</t>
  </si>
  <si>
    <t>pamela.imperadore@szn.it</t>
  </si>
  <si>
    <t>Travelling Fellowship of The Company of Biologists'-Journal of Experimental Biology [JEB-180806]</t>
  </si>
  <si>
    <t>Travelling Fellowship of The Company of Biologists'-Journal of Experimental Biology</t>
  </si>
  <si>
    <t>This study was initiated through a Travelling Fellowship of The Company of Biologists'-Journal of Experimental Biology (JEB-180806, https://journals.biologists.com/jeb/)-granted to PI to visit Uckermann's laboratory.</t>
  </si>
  <si>
    <t>FEB 4</t>
  </si>
  <si>
    <t>10.3389/fcell.2022.814746</t>
  </si>
  <si>
    <t>Cell Biology; Developmental Biology</t>
  </si>
  <si>
    <t>WOS:000760239100001</t>
  </si>
  <si>
    <t>Malga, JM; Trigo, M; Martinez, B; Aubourg, SP</t>
  </si>
  <si>
    <t>Malga, Jose M.; Trigo, Marcos; Martinez, Beatriz; Aubourg, Santiago P.</t>
  </si>
  <si>
    <t>Preservative Effect on Canned Mackerel (Scomber colias) Lipids by Addition of Octopus (Octopus vulgaris) Cooking Liquor in the Packaging Medium</t>
  </si>
  <si>
    <t>octopus vulgaris; cooking liquor; scomber colias; canning; packaging medium; lipid hydrolysis; lipid oxidation; polyene index; omega 3/omega 6 ratio</t>
  </si>
  <si>
    <t>SARDINE SARDINA-PILCHARDUS; FATTY-ACIDS; QUALITY; FISH; STORAGE; SALMON; WATER; FLUORESCENCE; OXIDATION; PRODUCTS</t>
  </si>
  <si>
    <t>The preservative properties of waste liquor obtained from octopus (Octopus vulgaris) cooking were investigated. Three different concentrations (high, medium, and low) of octopus cooking liquor (OCL) were included, respectively, in the aqueous packaging medium employed for mackerel (Scomber colias) canning. As a result, the canning process led to an increase (p &lt; 0.05) of lipid content, lipid oxidation (development of fluorescent compounds and thiobarbituric acid reactive substances, TBARS), lipid hydrolysis (formation of free fatty acids, FFA) and omega 3/omega 6 ratio in fish muscle. In all canned samples, primary (peroxides) and secondary (TBARS) levels of lipid oxidation were low. Remarkably, the presence in the packaging medium of the high and medium OCL concentrations led to lower (p &lt; 0.05) lipid oxidation development (fluorescent compound and TBARS detection, respectively). Furthermore, an increasing OCL presence led to an average decrease of peroxide and FFA content and to an average increase of the polyene index (PI). All OCL-packaged muscle showed lower average values of saturated fatty acids and omega 3/omega 6 ratio and higher average values of PI and monounsaturated fatty acid presence. This study provides a first approach to novel and beneficial use of the present marine waste to inhibit lipid damage of commercial canned fish.</t>
  </si>
  <si>
    <t>[Malga, Jose M.; Trigo, Marcos; Aubourg, Santiago P.] CSIC, Marine Res Inst, Dept Food Technol, C Eduardo Cabello 6, Vigo 36208, Spain; [Martinez, Beatriz] CIFP Coroso, Dept Food Technol, Avda Coruna 174, Ribeira 15960, Spain</t>
  </si>
  <si>
    <t>Aubourg, SP (corresponding author), CSIC, Marine Res Inst, Dept Food Technol, C Eduardo Cabello 6, Vigo 36208, Spain.</t>
  </si>
  <si>
    <t>jmalga@alumnos.uvigo.es; mtrigo@iim.csic.es; bmartinezr@edu.xunta.gal; saubourg@iim.csic.es</t>
  </si>
  <si>
    <t>SPANISH MINISTRY OF RESEARCH AND INNOVATION [RTI2018-095659-B-I00]</t>
  </si>
  <si>
    <t>SPANISH MINISTRY OF RESEARCH AND INNOVATION(Spanish Government)</t>
  </si>
  <si>
    <t>This research was funded by the SPANISH MINISTRY OF RESEARCH AND INNOVATION, grant number RTI2018-095659-B-I00 (2019 &amp; ndash;2022).</t>
  </si>
  <si>
    <t>10.3390/molecules27030739</t>
  </si>
  <si>
    <t>WOS:000760864400001</t>
  </si>
  <si>
    <t>Chung, WS; Kurniawan, ND; Marshall, NJ</t>
  </si>
  <si>
    <t>Chung, Wen-Sung; Kurniawan, Nyoman D.; Marshall, N. Justin</t>
  </si>
  <si>
    <t>Comparative brain structure and visual processing in octopus from different habitats</t>
  </si>
  <si>
    <t>CURRENT BIOLOGY</t>
  </si>
  <si>
    <t>ABDOPUS-ACULEATUS DORBIGNY; VERTICAL LOBE; OPTIC LOBES; VAMPYROTEUTHIS-INFERNALIS; VAMPIRE SQUID; CYANEA GRAY; CEPHALOPODS; SYSTEM; DISCRIMINATION; EVOLUTION</t>
  </si>
  <si>
    <t>Octopods are masters of camouflage and solve complex tasks, and their cognitive ability is said to approach that of some small mammals. Despite intense interest and some research progress, much of our knowledge of octopus neuroanatomy and its links to behavior and ecology comes from one coastal species, the European common octopus, Octopus vulgaris. Octopod species are found in habitats including complex coral reefs and the relatively featureless mid-water. There they encounter different selection pressures, may be nocturnal or diurnal, and are mostly solitary or partially social. How these different ecologies and behavioral differences influence the octopus central nervous system (CNS) remains largely unknown. Here we present a phylogenetically informed comparison between diurnal and nocturnal coastal and a deep-sea species using brain imaging techniques. This study shows that characteristic neuroanatomical changes are linked to their habits and habitats. Enlargement and division of the optic lobe as well as structural foldings and complexity in the underlying CNS are linked to behavioral adaptation (diurnal versus nocturnal; social versus solitary) and ecological niche (reef versus deep sea), but phylogeny may play a part also. The difference between solitary and social life is mirrored within the brain including the formation of multiple compartments (gyri) in the vertical lobe, which is likened to the vertebrate cortex. These findings continue the case for convergence between cephalopod and vertebrate brain structure and function. Notably, within the current push toward comparisons of cognitive abilities, often with unashamed anthropomorphism at their root, these findings provide a firm grounding from which to work.</t>
  </si>
  <si>
    <t>[Chung, Wen-Sung; Marshall, N. Justin] Univ Queensland, Queensland Brain Inst, St Lucia, Qld 4072, Australia; [Kurniawan, Nyoman D.] Univ Queensland, Ctr Adv Imaging, St Lucia, Qld 4072, Australia</t>
  </si>
  <si>
    <t>University of Queensland; University of Queensland</t>
  </si>
  <si>
    <t>Chung, WS (corresponding author), Univ Queensland, Queensland Brain Inst, St Lucia, Qld 4072, Australia.</t>
  </si>
  <si>
    <t>w.chung1@uq.edu.au</t>
  </si>
  <si>
    <t>Australian Research Council [FL140100197, DP200101930]; Office of Naval Research Global [N62909-18-1-2134]; Queensland State Government through the Queensland NMR Network; Australian Government through National Collaborative Research Infrastructure Strategy; National Imaging Facility; Australian Research Council [DP200101930, FL140100197] Funding Source: Australian Research Council</t>
  </si>
  <si>
    <t>Australian Research Council(Australian Research Council); Office of Naval Research Global(United States Department of DefenseUnited States NavyOffice of Naval Research); Queensland State Government through the Queensland NMR Network; Australian Government through National Collaborative Research Infrastructure Strategy(Australian GovernmentDepartment of Industry, Innovation and Science); National Imaging Facility; Australian Research Council(Australian Research Council)</t>
  </si>
  <si>
    <t>This work is supported by the Australian Research Council (Australian Laure-ate Fellowship FL140100197 and Discovery Project DP200101930 to N.J.M.) and the Office of Naval Research Global (N62909-18-1-2134 to N.J.M.) . The 16.4T is supported by the Queensland State Government through the Queens-land NMR Network and the Australian Government through National Collabo-rative Research Infrastructure Strategy and the National Imaging Facility. We thank Dr. Julian Finn (Museums Victoria) and Monterey Bay Aquarium Research Institute, who provided the live animal images; the staff of the Lizard Island Research Station and Moreton Bay Research Station for logistical sup-port; and the captain and crew of the research vessel Sonne (SO258/1 cruise) for the opportunity to participate and collect deep-sea samples. We also acknowledge the Dingaal, Ngurrumungu, Thanhil, and Quandamooka people as the Traditional Owners and their custodianship of the lands on which Lizard Island Research Station and Moreton Bay Research Station operate. We pay our respects to their ancestors and their descendants, who continue cultural and spiritual connections to Country, and recognize their valuable contribu-tions to Australian and global society.</t>
  </si>
  <si>
    <t>JAN 10</t>
  </si>
  <si>
    <t>+</t>
  </si>
  <si>
    <t>10.1016/j.cub.2021.10.070</t>
  </si>
  <si>
    <t>JAN 2022</t>
  </si>
  <si>
    <t>Biochemistry &amp; Molecular Biology; Biology; Cell Biology</t>
  </si>
  <si>
    <t>Biochemistry &amp; Molecular Biology; Life Sciences &amp; Biomedicine - Other Topics; Cell Biology</t>
  </si>
  <si>
    <t>WOS:000743814700009</t>
  </si>
  <si>
    <t>Sun, YL; Yao, CJ; Zhu, YF; Wang, YL; Zhang, ZP</t>
  </si>
  <si>
    <t>Sun, Yulong; Yao, Chengjie; Zhu, Youfang; Wang, Yilei; Zhang, Ziping</t>
  </si>
  <si>
    <t>Metabolism response of fasting in Octopus sinensis paralarvae revealed by RNA-seq</t>
  </si>
  <si>
    <t>Octopus sinensis; Fasting; Paralarvae; Metabolism; Transcriptome; Lipids</t>
  </si>
  <si>
    <t>CUTTLEFISH SEPIA-OFFICINALIS; EMBRYONIC-DEVELOPMENT; VULGARIS PARALARVAE; AMMONIA EXCRETION; BIOCHEMICAL-COMPOSITION; HORMONAL-REGULATION; OXYGEN-CONSUMPTION; ENERGY-BALANCE; MANTLE MUSCLE; EARLY-LIFE</t>
  </si>
  <si>
    <t>The limited knowledge regarding the nutritional physiology in East Asian common octopus (Octopus sinensis) during the early stages of their life has been hampering their large-scale industrial farming. Especially, inadequate nutrition is considered the primary cause for low paralarvae survival and growth. In order to study the metabolic molecular mechanism in the early stages of larval, transcriptomes of O. sinensis paralarvae in the fasting group were profiled by RNA-seq. A total of 42,824,129 clean reads were generated through Illumina sequencing and assembled into 72,379 unigenes. 10,415 unigenes were matched to the KEGG database significantly and 160 unigenes of them were assigned to the glycolysis/gluconeogenesis, fat digestion and absorption, protein processing in the endoplasmic reticulum, and citrate cycle (TCA cycle) signaling pathway, which was related to metabolism function. The results of the expression of 37 unigenes, which were measured by qRT-PCR proved that the transcriptome data were accurate. The responses of the metabolic-related genes demonstrated that there were sequential transition stages to metabolic in response to fasting in cephalopods that resemble the responses of fasting in vertebrate animals, in which a mix of fuels (amino acids, carbohydrates, lipids) was used at the early phase, then heavy reliance upon lipid-based fuels and carbohydrates are conserved, and protein fuels become the primary fuel as a last resort following starvation extends. The findings of this study can provide a deeper insight into the molecular mechanism of fasting in the O. sinensis hatchlings, which may be helpful for the East Asian common octopus aquaculture to overcome the obstacles of high mortality due to inadequate nutrition. Meanwhile, the transcriptome data obtained in this study provide valuable genetic resources for the study of metabolic function genes of cephalopods.</t>
  </si>
  <si>
    <t>[Sun, Yulong; Zhang, Ziping] Fujian Agr &amp; Forestry Univ, Coll Anim Sci, Coll Bee Sci, Fuzhou 350002, Peoples R China; [Sun, Yulong; Yao, Chengjie; Wang, Yilei] Jimei Univ, Coll Fisheries, Xiamen 361021, Peoples R China; [Zhu, Youfang] Putian Municipal Inst Fisheries Res, Dept Aquaculture, Putian 351100, Peoples R China; [Zhang, Ziping] Fujian Agr &amp; Forestry Univ, Inst Oceanol, Key Lab Marine Biotechnol Fujian Prov, Fuzhou 350002, Peoples R China</t>
  </si>
  <si>
    <t>Fujian Agriculture &amp; Forestry University; Jimei University; Fujian Agriculture &amp; Forestry University</t>
  </si>
  <si>
    <t>Zhang, ZP (corresponding author), Fujian Agr &amp; Forestry Univ, Coll Anim Sci, Coll Bee Sci, Fuzhou 350002, Peoples R China.;Wang, YL (corresponding author), Jimei Univ, Coll Fisheries, Xiamen 361021, Peoples R China.</t>
  </si>
  <si>
    <t>ylwang@jmu.edu.cn; zhangziping@hotmail.com</t>
  </si>
  <si>
    <t>10.1016/j.aquaculture.2021.737859</t>
  </si>
  <si>
    <t>WOS:000765383400004</t>
  </si>
  <si>
    <t>Esparza-Espinoza, DM; Santacruz-Ortega, HD; Chan-Higuera, JE; Cárdenas-López, JL; Burgos-Hernández, A; Carbonell-Barrachina, AA; Ezquerra-Brauer, JM</t>
  </si>
  <si>
    <t>Marisol Esparza-Espinoza, Dania; Del Carmen Santacruz-Ortega, Hisila; Enrique Chan-Higuera, Jesus; Luis Cardenas-Lopez, Jose; Burgos-Hernandez, Armando; Carbonell-Barrachina, Angel A.; Marina Ezquerra-Brauer, Josafat</t>
  </si>
  <si>
    <t>Chemical structure and antioxidant activity of cephalopod skin ommochrome pigment extracts</t>
  </si>
  <si>
    <t>FOOD SCIENCE AND TECHNOLOGY</t>
  </si>
  <si>
    <t>antioxidant; cephalopod skin; chemical structure; ommochrome pigments</t>
  </si>
  <si>
    <t>SQUID; ASSAYS; WATER; ACID; DPPH; ABTS</t>
  </si>
  <si>
    <t>Significant opportunities exist in the use of seafood by-products to create new beneficial products. Moreover, cephalopod skin is a good source of bioactive compounds. The present study compares the chemical structure properties and antioxidant activity of pigments extracted from the skin of Octopus vulgaris (OVS) and Dosidicus gigas (DGS) with methanol-HCl (T1) and ethanol-HCl (T2). The solubility and spectroscopic analysis (UV-Vis and 1H NMR) indicated that extracted pigments belonged to the ommochrome family. Xanthommatin, dihydroxanthommatin, and kynurenine compounds were identified in the extracts using correlated homonuclear spectroscopy (COSY). The results showed that OVS yielded a higher recovery rate of pigments with antioxidant activity (DPPH, ABTS, and FRAP) than DGS in both solvents. T1 extracted the highest level of antioxidant pigments. The kynurenine proportion and proton peaks observed at 3.0-5.0 ppm (amino-aromatics) in the 1H NMR spectra may explain the differences in antioxidant activity of OVS and DGS.</t>
  </si>
  <si>
    <t>[Marisol Esparza-Espinoza, Dania; Enrique Chan-Higuera, Jesus; Luis Cardenas-Lopez, Jose; Burgos-Hernandez, Armando; Marina Ezquerra-Brauer, Josafat] Univ Sonora UNISON, Dept Invest &amp; Posgrad Alimentos DIPA, Hermosillo, Sonora, Mexico; [Del Carmen Santacruz-Ortega, Hisila] Univ Sonora UNISON, Dept Invest Polimeros &amp; Mat DIPM, Hermosillo, Sonora, Mexico; [Carbonell-Barrachina, Angel A.] Univ Miguel Hernandez Elche UMH, Dept Tecnol Agroalimentaria, Escuela Politecn Super Orihuela EPSO, Alicante, Spain</t>
  </si>
  <si>
    <t>Universidad de Sonora; Universidad de Sonora; Universidad Miguel Hernandez de Elche</t>
  </si>
  <si>
    <t>Ezquerra-Brauer, JM (corresponding author), Univ Sonora UNISON, Dept Invest &amp; Posgrad Alimentos DIPA, Hermosillo, Sonora, Mexico.</t>
  </si>
  <si>
    <t>josafat.ezquerra@unison.mx</t>
  </si>
  <si>
    <t>Consejo Nacional de Ciencia y Tecnologia (CONACYT) Mexico [2174]</t>
  </si>
  <si>
    <t>Consejo Nacional de Ciencia y Tecnologia (CONACYT) Mexico(Consejo Nacional de Ciencia y Tecnologia (CONACyT))</t>
  </si>
  <si>
    <t>Authors recognize Consejo Nacional de Ciencia y Tecnologia (CONACYT) Mexico for financing the project 2174 and for the graduate scholarship granted to Dania Marisol Esparza-Espinoza.</t>
  </si>
  <si>
    <t>e56520</t>
  </si>
  <si>
    <t>10.1590/fst.56520</t>
  </si>
  <si>
    <t>WOS:000818587000009</t>
  </si>
  <si>
    <t>Esparza-Espinoza, DM; Plascencia-Jatomea, M; López-Saiz, CM; Parra-Vergara, NV; Carbonell-Barrachina, AA; Cárdenas-López, J; Ezquerra-Brauer, JM</t>
  </si>
  <si>
    <t>Esparza-Espinoza, Dania Marisol; Plascencia-Jatomea, Maribel; Lopez-Saiz, Carmen Maria; Parra-Vergara, Norma Violeta; Carbonell-Barrachina, Angel Antonio; Cardenas-Lopez, Jose; Ezquerra-Brauer, Josafat Marina</t>
  </si>
  <si>
    <t>Improving the shelf life of chicken burgers using Octopus vulgaris and Dosidicus gigas skin pigment extracts</t>
  </si>
  <si>
    <t>antioxidant activity; antimicrobial activity; chicken burger; cephalopod pigments</t>
  </si>
  <si>
    <t>ANTIOXIDANT; QUALITY; STORAGE</t>
  </si>
  <si>
    <t>In this work, an innovative strategy for raw chicken burger preservation, based on methanol-HCl extracts of octopus (Octopus vulgaris) (OVE) and squid (Dosidicus gigas) (DGE) skin pigments, was evaluated at 4 degrees C for 12 days. Burgers were prepared and divided into six groups: the control without any extract (CON), the control with 0.03% alpha-tocopherol (CET), and those containing 0.05% (OVE1, DGE1) and 0.1% (OVE2, DGE2) octopus and squid pigment extract, respectively. OVE yielded a higher rate of pigments with antioxidant activity (DPPH, ABTS, and ORAC) than DGE. The highest antimutagenic activity was detected in DGE according to the Ames' Salmonella test. OVE1 and DGE1 burgers maintained lower pH values and were less sensitive to lipid oxidation (peroxide, anisidine, and total oxidation values). Evaluation of microbial growth by total bacterial count, lactic acid bacteria, Enterobacteriaceae spp., and fungi showed that OVE1 and DGE1 delayed bacterial contamination. The overall sensory quality was maintained for longer in the OVE-and DGE-supplemented chicken burgers than CON burgers. This study showed that OVE and DGE have potential as antioxidant and antimicrobial additives in chicken products.</t>
  </si>
  <si>
    <t>[Esparza-Espinoza, Dania Marisol; Plascencia-Jatomea, Maribel; Lopez-Saiz, Carmen Maria; Parra-Vergara, Norma Violeta; Cardenas-Lopez, Jose; Ezquerra-Brauer, Josafat Marina] Univ Sonora UNISON, Dept Invest &amp; Posgrad Alimentos DIPA, Hermosillo, Sonora, Mexico; [Carbonell-Barrachina, Angel Antonio] Univ Miguel Hernandez Elche UMH, Dept Tecnol Agroalimentaria, Escuela Politecn Super Orihuela EPSO, Alicante, Spain</t>
  </si>
  <si>
    <t>Universidad de Sonora; Universidad Miguel Hernandez de Elche</t>
  </si>
  <si>
    <t>josafatmarina@gmail.com</t>
  </si>
  <si>
    <t>CONACyT-Mexico [2174]; CONACyT grant from the Mexican Government</t>
  </si>
  <si>
    <t>CONACyT-Mexico(Consejo Nacional de Ciencia y Tecnologia (CONACyT)); CONACyT grant from the Mexican Government</t>
  </si>
  <si>
    <t>This work was supported by CONACyT-Mexico, grant 2174. Esparza-Espinoza was funded by a CONACyT grant from the Mexican Government. The authors would like to thank Jesus Enrique Chan-Higuera and Armando Burgos Hernandez for their excellent technical assistance.</t>
  </si>
  <si>
    <t>e18221</t>
  </si>
  <si>
    <t>10.1590/fst.18221</t>
  </si>
  <si>
    <t>WOS:000767939500060</t>
  </si>
  <si>
    <t>Dan, S; Kamei, Y; Takeshima, S; Yamashita, K; Hamasaki, K</t>
  </si>
  <si>
    <t>Dan, Shigeki; Kamei, Yoshinori; Takeshima, Satoshi; Yamashita, Kazuhiro; Hamasaki, Katsuyuki</t>
  </si>
  <si>
    <t>Stepwise changes in morphology during the settlement process in a merobenthic octopus, Octopus sinensis, raised in the laboratory</t>
  </si>
  <si>
    <t>INVERTEBRATE BIOLOGY</t>
  </si>
  <si>
    <t>allometry; juvenile; morphogenesis; paralarva; relative growth</t>
  </si>
  <si>
    <t>UPWELLING SYSTEM; VULGARIS CUVIER; CEPHALOPODA OCTOPODIDAE; EARLY-LIFE; PARALARVAE; ARTEMIA; GROWTH; PREY; SURVIVAL; BEHAVIOR</t>
  </si>
  <si>
    <t>Cephalopoda have no true larval stage because they lack any abrupt morphological changes during growth. However, in shallow-water merobenthic octopuses, changes occur in the relative proportions of their body parts during the planktonic paralarval phase and the transitional phase from plankton to benthos. How this lifestyle transition is achieved is unclear because the morphological changes during their early life have yet to be fully elucidated. To address this issue, using laboratory-raised East Asian common octopus, Octopus sinensis, aged 0-100 days after hatching, measurements were taken of total length (TL), mantle length (ML), arm length (AL), the number of suckers on an arm (ASC), and body dry weight (DW). These values were used to explore break points (BPs) in the log-transformed allometric growth equation: lny = lna + blnx, where x is TL (a reference body dimension) and y is one of the other measurements. In all measurements, a three-segmented allometric growth model with two BPs was statistically evident, and each segment had a different relative growth coefficient b along with growth, indicating that there are distinct stages of ontogenetic morphological change. Taking into account the times of behavioral changes reported so far, four stepwise phases were detected in the progress of O. sinensis towards settlement: (1) a true planktonic paralarval phase with rapid increase of ASC; (2) a transitional phase between plankton and benthos, characterized by rapid AL increase; (3) a provisional initial benthic juvenile phase, attaining longer AL than ML and approaching adult-like proportion; and (4) a true benthic juvenile phase, reaching almost completion of the change in body proportion. The stepwise morphological changes seem to be a compromise measure to achieve changes in functional morphology and behavior necessary to lifestyle transition from plankton to benthos for an organism that goes through morphological change without metamorphosis.</t>
  </si>
  <si>
    <t>[Dan, Shigeki; Yamashita, Kazuhiro; Hamasaki, Katsuyuki] Tokyo Univ Marine Sci &amp; Technol, Dept Marine Biosci, Minato, Tokyo 1088477, Japan; [Kamei, Yoshinori] Okayama Prefectural Technol Ctr Agr Forestry &amp; Fi, Res Inst Fisheries Sci, Setouchi, Japan; [Takeshima, Satoshi] Japan Fisheries Res &amp; Educ Agcy, Fisheries Technol Inst, Aquaculture Res Dept, Onomichi, Japan</t>
  </si>
  <si>
    <t>NARO Bio-oriented Technology Research Advancement Institution (BRAIN) [30005AB]</t>
  </si>
  <si>
    <t>NARO Bio-oriented Technology Research Advancement Institution (BRAIN)</t>
  </si>
  <si>
    <t>NARO Bio-oriented Technology Research Advancement Institution (BRAIN), Grant/ Award Number: 30005AB</t>
  </si>
  <si>
    <t>e12358</t>
  </si>
  <si>
    <t>10.1111/ivb.12358</t>
  </si>
  <si>
    <t>DEC 2021</t>
  </si>
  <si>
    <t>Marine &amp; Freshwater Biology; Zoology</t>
  </si>
  <si>
    <t>WOS:000732972700001</t>
  </si>
  <si>
    <t>Izumi, S; Akiyama, N; Suzumura, Y; Ogawa, K</t>
  </si>
  <si>
    <t>Izumi, Shotaro; Akiyama, Nobuhiko; Suzumura, Yuta; Ogawa, Kazuo</t>
  </si>
  <si>
    <t>Infection of a Species of Digenean in Common Octopus Octopus sinensis in Japan</t>
  </si>
  <si>
    <t>FISH PATHOLOGY</t>
  </si>
  <si>
    <t>Proctoeces cf. major; Octopus sinensis; Fellodistomidae</t>
  </si>
  <si>
    <t>BATILLUS-CORNUTUS; PROCTOECES; FELLODISTOMIDAE; TREMATODA; TOPSHELL</t>
  </si>
  <si>
    <t>During a post-mortem inspection of common octopus Octopus sinensis, digenean parasites were found on the visceral surface. Parasitological examination revealed that 77 of 131 octopuses were infested, with maximum intensity of 975 digeneans. In all the retrieved digeneans, 92.3% were found to be attached to the renal sac. Species identification based on morphology was not possible because no fully mature digenean worms were obtained. Based on molecular analysis of 18S and 28S rDNA, the digenean was identified as Proctoeces cf. major. This is the first report of Proctoeces infection in common octopus in Japan.</t>
  </si>
  <si>
    <t>[Izumi, Shotaro; Akiyama, Nobuhiko; Suzumura, Yuta] Tokai Univ, Sch Marine Sci &amp; Technol, Shizuoka 4248610, Japan; [Ogawa, Kazuo] Meguro Parasitol Museum, Tokyo 1530064, Japan</t>
  </si>
  <si>
    <t>Tokai University</t>
  </si>
  <si>
    <t>Izumi, S (corresponding author), Tokai Univ, Sch Marine Sci &amp; Technol, Shizuoka 4248610, Japan.</t>
  </si>
  <si>
    <t>izumis@tokai-u.jp</t>
  </si>
  <si>
    <t>Fisheries; Veterinary Sciences</t>
  </si>
  <si>
    <t>WOS:000778215600006</t>
  </si>
  <si>
    <t>Contente, D; Feito, J; Díaz-Formoso, L; Gómez-Sala, B; Borrero, J; Peña, N; Igrejas, G; Poeta, P; Hernández, PE; Muñoz-Atienza, E; Cintas, LM</t>
  </si>
  <si>
    <t>Contente, Diogo; Feito, Javier; Diaz-Formoso, Lara; Gomez-Sala, Beatriz; Borrero, Juan; Pena, Nuria; Igrejas, Gilberto; Poeta, Patricia; Hernandez, Pablo E.; Munoz-Atienza, Estefania; Cintas, Luis M.</t>
  </si>
  <si>
    <t>Draft Genome Sequence of Weissella cibaria P71, a Promising Aquaculture Probiotic Strain Isolated from Common Octopus (Octopus vulgaris)</t>
  </si>
  <si>
    <t>MICROBIOLOGY RESOURCE ANNOUNCEMENTS</t>
  </si>
  <si>
    <t>Weissella cibaria P71 is a lactic acid bacterium that was isolated from common octopus (Octopus vulgaris) and previously showed interesting probiotic properties for turbot (Scophthalmus maximus L.) farming. The draft genome sequence of this strain provides further data to support its potential as a probiotic for aquaculture.</t>
  </si>
  <si>
    <t>[Contente, Diogo; Feito, Javier; Diaz-Formoso, Lara; Borrero, Juan; Pena, Nuria; Hernandez, Pablo E.; Munoz-Atienza, Estefania; Cintas, Luis M.] Univ Complutense Madrid, Fac Vet, Secc Departamental Nutr &amp; Ciencia Alimentos Bacte, Madrid, Spain; [Contente, Diogo; Poeta, Patricia] Univ Tras Os Montes &amp; Alto Douro, Dept Vet Sci, Microbiol &amp; Antibiot Resistance Team, Vila Real, Portugal; [Gomez-Sala, Beatriz] Univ Coll Cork, APC Microbiome Ireland, Cork, Ireland; [Gomez-Sala, Beatriz] Teagasc Food Res Ctr, Moorepk, Cork, Ireland; [Igrejas, Gilberto] Univ Tras Os Montes &amp; Alto Douro, Funct Genom &amp; Prote Unit, Vila Real, Portugal; [Igrejas, Gilberto] Univ Tras Os Montes &amp; Alto Douro, Dept Genet &amp; Biotechnol, Vila Real, Portugal; [Igrejas, Gilberto; Poeta, Patricia] Univ Nova Lisboa, Associated Lab Green Chem, Caparica, Portugal</t>
  </si>
  <si>
    <t>Complutense University of Madrid; University of Tras-os-Montes &amp; Alto Douro; University College Cork; Teagasc; University of Tras-os-Montes &amp; Alto Douro; University of Tras-os-Montes &amp; Alto Douro; Universidade Nova de Lisboa</t>
  </si>
  <si>
    <t>Feito, J (corresponding author), Univ Complutense Madrid, Fac Vet, Secc Departamental Nutr &amp; Ciencia Alimentos Bacte, Madrid, Spain.</t>
  </si>
  <si>
    <t>j.feito@ucm.es</t>
  </si>
  <si>
    <t>Ministerio de Ciencia, Innovacion y Universidades (MCIU) (Madrid, Spain) [RTI2018-094907-B-I00]; Universidad Complutense de Madrid; Comunidad deMadrid (Spain) [2018-T1/BIO-10158]</t>
  </si>
  <si>
    <t>Ministerio de Ciencia, Innovacion y Universidades (MCIU) (Madrid, Spain); Universidad Complutense de Madrid; Comunidad deMadrid (Spain)(Comunidad de Madrid)</t>
  </si>
  <si>
    <t>This work was supported by project RTI2018-094907-B-I00 from the Ministerio de Ciencia, Innovacion y Universidades (MCIU) (Madrid, Spain). J.F. was supported by a predoctoral contract from the Universidad Complutense de Madrid. N.P. holds a contract from project 2018-T1/BIO-10158 funded by the Comunidad deMadrid (Spain).</t>
  </si>
  <si>
    <t>e00792-21</t>
  </si>
  <si>
    <t>10.1128/MRA.00792-21</t>
  </si>
  <si>
    <t>WOS:000731029700004</t>
  </si>
  <si>
    <t>Puentes-Sayo, A; Torres-Rodríguez, J; Lecompte, O</t>
  </si>
  <si>
    <t>Puentes-Sayo, Alejandra; Torres-Rodriguez, Javier; Lecompte, Orlando</t>
  </si>
  <si>
    <t>Solving the identity of the common shallow-water octopus of the Colombian Caribbean based on the analysis of mitochondrial DNA sequence data</t>
  </si>
  <si>
    <t>JOURNAL OF MOLLUSCAN STUDIES</t>
  </si>
  <si>
    <t>INSULARIS LEITE; CEPHALOPODA; VULGARIS; MIMUS; OCTOPODIDAE; DIVERGENCE; HAIMOVICI; ATLANTIC; MOLLUSCA; MAYA</t>
  </si>
  <si>
    <t>The specific identity of the common octopus fished along the Colombian Caribbean was studied based on 58 specimens collected from artisanal fishing in five localities (Providencia, San Andres, Santa Marta, Cartagena and Isla Fuerte). A molecular systematic analysis of the mitochondrial genes 16S ribosomal RNA and cytochrome c oxidase subunit III was carried out, along with a reanalysis of data for the cytochrome c oxidase subunit I gene. These analyses revealed that the common shallow-water octopus of the Colombian Caribbean is Octopus insularis. The trees generated for the three genes and the genetic distances for each of the genes (0-0.3%) confirmed the specimens collected in this study as belonging to a single clade and the species as O. insularis. Our results confirm that the octopus described recently as O. tayrona is in fact O. insularis and this extends the known distribution of the latter species to the southwestern Caribbean (i.e. Colombian coast). We discuss our findings in the context of the species misidentification of the O. vulgaris species complex.</t>
  </si>
  <si>
    <t>[Puentes-Sayo, Alejandra; Torres-Rodriguez, Javier; Lecompte, Orlando] Univ Jorge Tadeo Lozano, Dept Biol &amp; Environm Sci, Santa Marta, Rodadero, Colombia</t>
  </si>
  <si>
    <t>Puentes-Sayo, A (corresponding author), Univ Jorge Tadeo Lozano, Dept Biol &amp; Environm Sci, Santa Marta, Rodadero, Colombia.</t>
  </si>
  <si>
    <t>paolaa.puentess@utadeo.edu.co</t>
  </si>
  <si>
    <t>eyab039</t>
  </si>
  <si>
    <t>10.1093/mollus/eyab039</t>
  </si>
  <si>
    <t>WOS:000790597600007</t>
  </si>
  <si>
    <t>Pedà, C; Longo, F; Berti, C; Laface, F; De Domenico, F; Consoli, P; Battaglia, P; Greco, S; Romeo, T</t>
  </si>
  <si>
    <t>Peda, Cristina; Longo, Francesco; Berti, Claudio; Laface, Federica; De Domenico, Francesca; Consoli, Pierpaolo; Battaglia, Pietro; Greco, Silvestro; Romeo, Teresa</t>
  </si>
  <si>
    <t>The waste collector: information from a pilot study on the interaction between the common octopus (Octopus vulgaris, Cuvier, 1797) and marine litter in bottom traps fishing and first evidence of plastic ingestion</t>
  </si>
  <si>
    <t>Cephalopoda; Local ecological knowledge; Marine litter; Microplastics ingestion; Mediterranean Sea</t>
  </si>
  <si>
    <t>MEDITERRANEAN SEA; MULLUS-BARBATUS; ARTIFICIAL DENS; TYRRHENIAN SEA; CEPHALOPODA; ABUNDANCE; DEBRIS; MICROPLASTICS; MOLLUSCA; AREA</t>
  </si>
  <si>
    <t>Few studies focused on behaviour adaptations of organisms to marine litter (ML) pollution in Mediterranean Sea. This research, investigates on some behavior traits of Octopus vulgaris, focusing on the interaction with ML during the artisanal fishing activities by the bottom traps in a small coastal area of the southern Tyrrhenian Sea. For the first time, this pilot study uses an integrated approach based on the Fishermen Ecological Knowledge as well as the analysis of ML found in the traps. First assessment of plastic ingestion in this species are also reported. Plastic and metal were the predominant ML categories observed into the bottom traps. A total of 62 plastics, mainly small microplastics and fibres shaped, were ingested. The ML finding in the bottom traps suggests an interesting behavior of the common octopus regarding its interaction with ML, in fact, it seems to bring ML inside its dens, as a collector.</t>
  </si>
  <si>
    <t>[Peda, Cristina; Longo, Francesco; Laface, Federica; De Domenico, Francesca; Consoli, Pierpaolo; Battaglia, Pietro; Romeo, Teresa] Sicily Marine Ctr, Stn Zool Anton Dohrn Natl Inst Biol Ecol &amp; Marine, Dept Integrat Marine Ecol EMI, Villa Pace Contrada Porticatello 29, I-98167 Messina, Italy; [Berti, Claudio; Greco, Silvestro] Calabria Marine Ctr Res Ctr &amp; Marine Adv Infrastr, Natl Inst Biol Ecol &amp; Marine Biotechnol, Dept Res Infrastruct Marine Biol Resources RIMAR, CRIMAC,Stn Zool Anton Dohrn, I-87071 Amendolara, CS, Italy; [Laface, Federica] Univ Messina, Dept Chem Biol Pharmaceut &amp; Environm Sci, Viale Ferdinando Stagno DAlcontres 31, I-98166 Messina, Italy; [Greco, Silvestro] Natl Inst Biol Ecol &amp; Marine Biotechnol, Stn Zool Anton Dohrn, Dept Integrat Marine Ecol EMI, Rome, Italy; [Romeo, Teresa] ISPRA, Inst Environm Protect &amp; Res, Via Mille 56, I-98057 Milazzo, ME, Italy</t>
  </si>
  <si>
    <t>Stazione Zoologica Anton Dohrn; University of Messina; Stazione Zoologica Anton Dohrn; European Commission Joint Research Centre; EC JRC ISPRA Site; Italian Institute for Environmental Protection &amp; Research (ISPRA)</t>
  </si>
  <si>
    <t>Pedà, C (corresponding author), Sicily Marine Ctr, Stn Zool Anton Dohrn Natl Inst Biol Ecol &amp; Marine, Dept Integrat Marine Ecol EMI, Villa Pace Contrada Porticatello 29, I-98167 Messina, Italy.;Berti, C (corresponding author), Calabria Marine Ctr Res Ctr &amp; Marine Adv Infrastr, Natl Inst Biol Ecol &amp; Marine Biotechnol, Dept Res Infrastruct Marine Biol Resources RIMAR, CRIMAC,Stn Zool Anton Dohrn, I-87071 Amendolara, CS, Italy.</t>
  </si>
  <si>
    <t>cristina.peda@szn.it; claudio.berti@szn.it</t>
  </si>
  <si>
    <t>10.1016/j.marpolbul.2021.113185</t>
  </si>
  <si>
    <t>NOV 2021</t>
  </si>
  <si>
    <t>WOS:000737260800010</t>
  </si>
  <si>
    <t>Geraci, ML; Falsone, F; Gancitano, V; Scannella, D; Fiorentino, F; Vitale, S</t>
  </si>
  <si>
    <t>Geraci, Michele L.; Falsone, Fabio; Gancitano, Vita; Scannella, Danilo; Fiorentino, Fabio; Vitale, Sergio</t>
  </si>
  <si>
    <t>Assessing Cephalopods Fisheries in the Strait of Sicily by Using Poor Data Modeling</t>
  </si>
  <si>
    <t>stock assessment; surplus production models (SPM); maximum sustainable yield (MSY); fisheries management; catch-maximum sustainable yield (CMSY); Bayesian surplus production model (BSM); surplus production in continuous time (SPiCT)</t>
  </si>
  <si>
    <t>SURPLUS PRODUCTION-MODEL; POPULATION-DYNAMICS; ELEDONE-CIRRHOSA; STOCKS; SPECIFICATIONS; CATCH; SEA</t>
  </si>
  <si>
    <t>Cephalopods, including octopuses, squids, and cuttlefishes, are exploited by both bottom trawl and small-scale fisheries (SSF) in most of the Mediterranean areas. Bottom trawl fisheries regard cephalopods as a valuable bycatch, whereas for SSF, they are among the main target species. Cephalopods account for a relatively small proportion of the total landings in the Mediterranean. However, from an economic point of view, four cephalopods, Eledone cirrhosa, Eledone moschata, Octopus vulgaris, and Sepia officinalis, account for approximately 15% of the total landing value. Despite their economic importance, there are very few stock assessments of cephalopods in the Mediterranean because it is difficult to assess them by classical age-based methods, given their short life-cycles, and highly variable growth and recruitment. The production of E. cirrhosa, E. moschata, Illex coindettii, Loligo vulgaris, O. vulgaris, S. officinalis, and Todaropsis eblanae in the waters off the south of Sicily accounts for approximately 8% of the total Mediterranean yield of cephalopods. This study presents the first attempt to assess the state of these cephalopods in the Strait of Sicily by using surplus production models. Since species-wise landing statistics may be unreliable because of their morphological similarity, some octopuses (E. cirrhosa and E. moschata) and ommastrephid squids (I. coindetii and T. eblanae) were assessed combined. Landing data and abundance indices from trawl surveys were used to describe cephalopod stock dynamics through the Bayesian State Space Schaefer model (BSM) and Surplus Production model in Continuous Time (SPiCT) models. As survey data were not considered reliable indicators of their abundance, O. vulgaris, S. officinalis, and L. vulgaris stocks were assessed using the Catch-Maximum Sustainable Yield (CMSY) model. Overall, squid and cuttlefish stocks were observed to be in healthy conditions. However, assessments of octopus stocks indicated that their condition was critical or recovering. Here, we discuss the different stock statuses in the light of evolving fisheries and environmental factors in the area over time. Although cephalopods are not a priority in the current management system of Mediterranean fisheries, the importance of these species in the food web and their relevance for SSF underline their importance and their exploitation status should be periodically evaluated.</t>
  </si>
  <si>
    <t>[Geraci, Michele L.] Univ Bologna, Dept Biol, Geol &amp; Environm Sci BiGeA Marine Biol &amp; Fisheries, Bologna, Italy; [Geraci, Michele L.; Falsone, Fabio; Gancitano, Vita; Scannella, Danilo; Fiorentino, Fabio; Vitale, Sergio] Natl Res Council CNR, Inst Marine Biol Resources &amp; Biotechnol IRBIM, Mazara Del Vallo, Italy</t>
  </si>
  <si>
    <t>University of Bologna; Consiglio Nazionale delle Ricerche (CNR); Istituto per le Risorse Biologiche Biotecnologie Marine (IRBIM-CNR)</t>
  </si>
  <si>
    <t>Falsone, F (corresponding author), Natl Res Council CNR, Inst Marine Biol Resources &amp; Biotechnol IRBIM, Mazara Del Vallo, Italy.</t>
  </si>
  <si>
    <t>fabio.falsone@irbim.cnr.it</t>
  </si>
  <si>
    <t>European Union; Italian Ministry for Agricultural, Food and Forestry Policies</t>
  </si>
  <si>
    <t>European Union(European Union (EU)); Italian Ministry for Agricultural, Food and Forestry Policies</t>
  </si>
  <si>
    <t>This work was conducted thanks to the European Data Collection Framework (DCF)-Transversal Variables and MEDITS Survey Modules funded by the European Union and the Italian Ministry for Agricultural, Food and Forestry Policies.</t>
  </si>
  <si>
    <t>NOV 25</t>
  </si>
  <si>
    <t>10.3389/fmars.2021.584657</t>
  </si>
  <si>
    <t>WOS:000729157400001</t>
  </si>
  <si>
    <t>Jurado-Ruzafa, A; Duque-Nogal, V; Carrasco, MN; González-Porto, M; González-Jiménez, J; Tuset, VM</t>
  </si>
  <si>
    <t>Jurado-Ruzafa, Alba; Duque-Nogal, Veronica; Nazaret Carrasco, M.; Gonzalez-Porto, Marcos; Gonzalez-Jimenez, Jose; Tuset, Victor M.</t>
  </si>
  <si>
    <t>Taxonomic Diversity Hidden Inside the Mantle of Octopus Vulgaris: Valuable Source of Information</t>
  </si>
  <si>
    <t>Octopus; Bottom trawl; Species richness; Spatial distribution; Mauritanian waters</t>
  </si>
  <si>
    <t>SPECIES COMPOSITION; NORTHWEST AFRICA; FISH ASSEMBLAGES; BENTHIC FAUNA; FISHERIES; CEPHALOPODA; ABUNDANCE; CUVIER; SHELF; COAST</t>
  </si>
  <si>
    <t>The common octopus, Octopus vulgaris, is a very important demersal fishery resource targeted, among other fleets, by freezer bottom-trawlers in the Mauritanian Economic Exclusive Zone (MEEZ). From August 2010 to September 2011, a total of 1696 octopuses caught in the MEEZ where analysed. Many organisms trapped into the octopuses' mantle were found and identified, which are jointly swept while the trawling catches the targeted species. A latitudinal (by ecoregion) and depth study was performed to determine differences in the taxonomic diversity of these hidden organisms. The findings showed that the diversity patterns were similar to already established in the area based on scientific surveys. Therefore, this ignored bycatch could provide complementary ecological information of the habitat of O. vulgaris.</t>
  </si>
  <si>
    <t>[Jurado-Ruzafa, Alba; Nazaret Carrasco, M.; Gonzalez-Porto, Marcos; Gonzalez-Jimenez, Jose] CSIC, Inst Espanol Oceanog IEO, Ctr Oceanog Canarias, Via Espaldon, Darsena Pesquera 38180, Santa Cruz De T, Spain; [Duque-Nogal, Veronica] CSIC, Ctr Oceanog Cadiz, Inst Espanol Oceanog IEO, Cadiz 11006, Spain; [Tuset, Victor M.] Univ Las Palmas Gran Canaria, Inst Oceanog &amp; Cambio Global IOCAG, Campus Taliarte, Telde 35214, Gran Canaria, Spain; [Tuset, Victor M.] CSIC, Inst Ciencies Mar ICM, Passeig Maritim Barceloneta 37-49, Barcelona 08003, Spain</t>
  </si>
  <si>
    <t>Spanish Institute of Oceanography; Consejo Superior de Investigaciones Cientificas (CSIC); Consejo Superior de Investigaciones Cientificas (CSIC); Universidad de Las Palmas de Gran Canaria; CSIC - Centro Mediterraneo de Investigaciones Marinas y Ambientales (CMIMA); CSIC - Instituto de Ciencias del Mar (ICM); Consejo Superior de Investigaciones Cientificas (CSIC); CSIC - Instituto de Ciencias del Mar (ICM)</t>
  </si>
  <si>
    <t>Tuset, VM (corresponding author), Univ Las Palmas Gran Canaria, Inst Oceanog &amp; Cambio Global IOCAG, Campus Taliarte, Telde 35214, Gran Canaria, Spain.;Tuset, VM (corresponding author), CSIC, Inst Ciencies Mar ICM, Passeig Maritim Barceloneta 37-49, Barcelona 08003, Spain.</t>
  </si>
  <si>
    <t>vtuset@ulpgc.es</t>
  </si>
  <si>
    <t>EU through the European Maritime and Fisheries Fund (EMFF) within the Spanish National Program</t>
  </si>
  <si>
    <t>This project was partially funded by the EU through the European Maritime and Fisheries Fund (EMFF) within the Spanish National Program of collection, management and use of data in the fisheries sector and support for scientific advice regarding the Common Fisheries Policy.</t>
  </si>
  <si>
    <t>10.1007/s41208-021-00373-6</t>
  </si>
  <si>
    <t>WOS:000720201300001</t>
  </si>
  <si>
    <t>Amor, MD; Hart, AM</t>
  </si>
  <si>
    <t>Amor, Michael D.; Hart, Anthony M.</t>
  </si>
  <si>
    <t>Octopus djinda (Cephalopoda: Octopodidae): a new member of the Octopus vulgaris group from southwest Australia</t>
  </si>
  <si>
    <t>ZOOTAXA</t>
  </si>
  <si>
    <t>Allopatric speciation; Bassian Isthmus; cryptic species; Octopus tetricus</t>
  </si>
  <si>
    <t>TETRICUS MOLLUSCA-CEPHALOPODA; GENETIC-EVIDENCE; INSULARIS; BIODIVERSITY; MORPHOLOGY; ATLANTIC; AGE</t>
  </si>
  <si>
    <t>A new Octopus Cuvier, 1797 species, Octopus djinda Amor, 2021 (previously treated as O. cf. tetricus and O. aff. tetricus), is described from the shallow waters off southwest Australia. This species was classified as conspecific with O. tetricus Gould, 1852 from Australia's east coast and New Zealand but is shown here to be morphologically and genetically distinct. This description is based on 25 individuals across three localities in southwest Australia, encompassing most of its distribution. Greater and non-overlapping sucker counts on the males hectocotylised arm delimit east and west coast forms. DNA barcoding using cytochrome c oxidase subunit I also successfully differentiates between these taxa; 13 polymorphisms along a 349 bp partial fragment (3.7% sequence divergence). A close relative of the O. vulgaris Cuvier, 1797 species-group, O. djinda, sp. nov. supports a highly productive fishery and is currently one of two octopod fisheries worldwide to have received sustainable certification from the Marine Stewardship Council. The taxonomic description presented here provides formal recognition of the taxonomic status of southwest Australia's common octopus, O. djinda, sp. nov. and facilitates appropriate fisheries catch reporting and management.</t>
  </si>
  <si>
    <t>[Amor, Michael D.] Western Australian Museum, Dept Aquat Zool, Welshpool, WA 6106, Australia; [Amor, Michael D.] Royal Bot Gardens Victoria, South Yarra, Vic 3141, Australia; [Hart, Anthony M.] Dept Primary Ind &amp; Reg Dev, Western Australian Fisheries &amp; Marine Res Labs, Hillarys, WA 6025, Australia</t>
  </si>
  <si>
    <t>Western Australian Museum; Western Australian Fisheries &amp; Marine Research Laboratories; Department of Primary Industries &amp; Regional Development NSW</t>
  </si>
  <si>
    <t>Amor, MD (corresponding author), Western Australian Museum, Dept Aquat Zool, Welshpool, WA 6106, Australia.;Amor, MD (corresponding author), Royal Bot Gardens Victoria, South Yarra, Vic 3141, Australia.</t>
  </si>
  <si>
    <t>michael.amor88@gmail.com; anthony.hart@dpird.wa.gov.au</t>
  </si>
  <si>
    <t>Australian Government, Fisheries Research and Development Corporation (FRDC) [2018-178]</t>
  </si>
  <si>
    <t>Australian Government, Fisheries Research and Development Corporation (FRDC)(Fisheries R&amp;D Corp)</t>
  </si>
  <si>
    <t>Funding: This work was funded by the Australian Government, Fisheries Research and Development Corpora-tion (FRDC; grant number 2018-178) awarded to AMH and MDA.</t>
  </si>
  <si>
    <t>NOV 3</t>
  </si>
  <si>
    <t>10.11646/zootaxa.5061.1.7</t>
  </si>
  <si>
    <t>WOS:000717552800001</t>
  </si>
  <si>
    <t>Ramdani, C; El Fakhouri, K; Sbaghi, M; Bouharroud, R; Boulamtat, R; Aasfar, A; Mesfioui, A; El Bouhssini, M</t>
  </si>
  <si>
    <t>Ramdani, Chaimae; El Fakhouri, Karim; Sbaghi, Mohamed; Bouharroud, Rachid; Boulamtat, Rachid; Aasfar, Abderrahim; Mesfioui, Abdelhalim; El Bouhssini, Mustapha</t>
  </si>
  <si>
    <t>Chemical Composition and Insecticidal Potential of Six Essential Oils from Morocco against Dactylopius opuntiae (Cockerell) under Field and Laboratory Conditions</t>
  </si>
  <si>
    <t>INSECTS</t>
  </si>
  <si>
    <t>wild cochineal; essential oils; black soap; toxicity; chemical compound; cactus pear</t>
  </si>
  <si>
    <t>PLANT ESSENTIAL OILS; TRIBOLIUM-CASTANEUM HERBST; OBTECTUS SAY COLEOPTERA; MENTHA-PULEGIUM; HEMIPTERA DACTYLOPIIDAE; TOXICITY; MONOTERPENOIDS; DIPTERA; L.; ACETYLCHOLINESTERASE</t>
  </si>
  <si>
    <t>Simple SummaryThe prickly pear Opuntia ficus-indica L. has an important economic role as a source of food for human consumption, for cosmetic and pharmaceutical purposes, and as fodder for livestock in Morocco. This crop is now attacked by a new sap-sucking insect pest, the wild-scale Dactylopius opuntiae (Cockerell). The aim of this study was to investigate the insecticidal potential of essential oils as alternative to synthetic insecticides for the control of D. opuntiae nymphs and adult females under laboratory and field conditions. Results revealed that Mentha pulegium and Origanum vulgare oils provided a rich source of bioactive compounds and exhibited high contact toxicity against D. opuntiae. In addition, M. pulegium and O. vulgaris oils applied in combination with black soap induced the highest toxic activity on adult females under field conditions.The carmine cochineal Dactylopius opuntiae (Cockerell) is the major insect pest of the prickly-pear cactus Opuntia ficus-indica (L.) in Morocco. The present study investigated the insecticidal activities of six essential oils (EOs) against nymphs and adult females of D. opuntiae applied singly or in combination with a detergent under laboratory and field conditions. Under laboratory conditions, M. pulegium and O. vulgare L. essential oils showed a high level of insecticidal activity at 5%, with 98% and 92% females' mortality, respectively, 5 days after treatments. The M. pulegium and O. vulgaris oils at 5% applied in combination with black soap at (60 g/L) induced the highest toxic activity on adult females, 100% and 96% at 5 days after treatments, respectively. Under field conditions, M. pulegium and O. vulgare oils at 5% in combination with black soap (60 g/L) showed the highest adult female mortalities with 96.33 and 92.56%, respectively, 7 days after the first application. The double application of M. pulegium oil at 5% significantly increased the mortality of adult females up to 91%, 5 days after the second spray. GC-MS analysis revealed that the most abundant constituent of M. pulegium and O. vulgare oils was pulegone (84.69%) and durenol (76.53%), respectively. These findings showed that the use of M. pulegium and O. vulgare in combination with black soap or in double sprays could be incorporated in the management package for the control of the wild cochineal D. opuntiae, as a safe and natural alternative to chemical insecticides.</t>
  </si>
  <si>
    <t>[Ramdani, Chaimae; El Fakhouri, Karim; Boulamtat, Rachid] Int Ctr Agr Res Dry Areas ICARDA, Rabat Inst, Entomol Lab, Rabat 10100, Morocco; [Ramdani, Chaimae; Boulamtat, Rachid; Mesfioui, Abdelhalim] Ibn Tofail Univ, Dept Biol, Lab Biol &amp; Hlth, Fac Sci, Kenitra 14000, Morocco; [Sbaghi, Mohamed] Natl Inst Agron Res INRA, Rabat 10100, Morocco; [Bouharroud, Rachid] Reg Ctr Agron Res Agadir INRA, Integrated Crop Prod Unit, Ave FAR, Inezgane 80000, Morocco; [Aasfar, Abderrahim] Moroccan Fdn Adv Sci Innovat &amp; Res MAScIR, Green Biotechnol Lab, Rabat Design Ctr, Rue Mohamed Al Jazouli, Rabat 10100, Morocco; [El Bouhssini, Mustapha] Mohammed VI Polytech Univ, AgroBioSci Res Div, Lot 660, Hay Moulay Rachid 43150, Benguerir, Morocco</t>
  </si>
  <si>
    <t>CGIAR; International Center for Agricultural Research in the Dry Areas (ICARDA); Ibn Tofail University of Kenitra; Moroccan Foundation for Advanced Science Innovation &amp; Research (MASCIR); Mohammed VI Polytechnic University</t>
  </si>
  <si>
    <t>Ramdani, C (corresponding author), Int Ctr Agr Res Dry Areas ICARDA, Rabat Inst, Entomol Lab, Rabat 10100, Morocco.;Ramdani, C (corresponding author), Ibn Tofail Univ, Dept Biol, Lab Biol &amp; Hlth, Fac Sci, Kenitra 14000, Morocco.</t>
  </si>
  <si>
    <t>ch.ram@hotmail.com; k.el-fakhouri@cgiar.org; msbaghi@yahoo.fr; rachid.bouharroud@inra.ma; r.boulamtat@gmail.com; a.aasfar@mascir.ma; a.mesfioui@yahoo.fr; Mustapha.ElBouhssini@um6p.ma</t>
  </si>
  <si>
    <t>Morocco-CGIAR Grant Program IV, Component 5: Integrated Management of The Cactus Cochineal in Morocco</t>
  </si>
  <si>
    <t>This research was funded by the Morocco-CGIAR Grant Program IV, Component 5: Integrated Management of The Cactus Cochineal in Morocco.</t>
  </si>
  <si>
    <t>10.3390/insects12111007</t>
  </si>
  <si>
    <t>Entomology</t>
  </si>
  <si>
    <t>WOS:000724586400001</t>
  </si>
  <si>
    <t>O'Brien, CE; Di Miccoli, V; Fiorito, G</t>
  </si>
  <si>
    <t>O'Brien, Caitlin E.; Di Miccoli, Valentina; Fiorito, Graziano</t>
  </si>
  <si>
    <t>A preliminary investigation of the response of Octopus vulgaris to experimental stimuli in the wild</t>
  </si>
  <si>
    <t>VISUAL-DISCRIMINATION; BEHAVIOR; CEPHALOPODA; MOLLUSCA; TEMPERATURE; PERSONALITY; PREFERENCE; COGNITION; ECOLOGY; SIGNAL</t>
  </si>
  <si>
    <t>We tested the feasibility of conducting three standard behavioural tests modified from laboratory experiments with Octopus vulgaris in its natural habitat. Twenty wild octopuses from around the island of Capri (Mediterranean Sea) were filmed as two novel objects (a piece of white plastic and an identical piece of black plastic), an artificial prey item (a realistic rubber crab lure) and a conspecific (simulated by reflection in a mirror) were presented by experimenters on SCUBA. All of the objects elicited responses from at least 20% of the octopuses, particularly the artificial crab (50% made contact). This rate of engagement with objects (&lt;= 50%) is much lower than seen in analogous laboratory experiments (&gt;78%). However, among those that did respond to an object, latencies to touch were in the same range as those observed in the laboratory. This demonstrates the feasibility of conducting simple behavioural assays with O. vulgaris in the field, opening the door to a more systematic approach to behavioural study of octopuses in the wild. Such studies will, however, require larger sample sizes than laboratory experiments in order to compensate for lower engagement rates.</t>
  </si>
  <si>
    <t>[O'Brien, Caitlin E.] Cockburn Harbour, Sch Field Studies, Ctr Marine Resource Studies, Turks &amp; Caicos Isl, Naples, Italy; [O'Brien, Caitlin E.; Fiorito, Graziano] Villa Comunale, Stn Zool Anton Dohrn, Dept Biol &amp; Evolut Marine Organisms, I-80121 Naples, Italy; [Di Miccoli, Valentina] Assoc Cephalopod Res CephRes, Naples, Italy</t>
  </si>
  <si>
    <t>O'Brien, CE (corresponding author), Cockburn Harbour, Sch Field Studies, Ctr Marine Resource Studies, Turks &amp; Caicos Isl, Naples, Italy.;O'Brien, CE (corresponding author), Villa Comunale, Stn Zool Anton Dohrn, Dept Biol &amp; Evolut Marine Organisms, I-80121 Naples, Italy.</t>
  </si>
  <si>
    <t>ceobrien5@gmail.com</t>
  </si>
  <si>
    <t>Fyssen Foundation (Paris, France); Stazione Zoologica Anton Dohrn; Association for Cephalopod Research</t>
  </si>
  <si>
    <t>CEO was supported by a postdoctoral grant from the Fyssen Foundation (Paris, France). GF was supported by the Stazione Zoologica Anton Dohrn. Experiments were supported by the Association for Cephalopod Research. We would also like to thank Marco Palombi, Sergio Cosentino, Ciro Alfano (Aurora Adventure Time), Anna-Maria Palombi and Professor Filippo Barattolo (Centro Cerio, Capri, Italy), Alex Schnell, Barbara O'Brien and two anonymous reviewers.</t>
  </si>
  <si>
    <t>eyab032</t>
  </si>
  <si>
    <t>10.1093/mollus/eyab032</t>
  </si>
  <si>
    <t>WOS:000809855100004</t>
  </si>
  <si>
    <t>Asada, K; Nakajima, R; Nishibayashi, T; Ziadi-Künzli, F; Lajbner, Z; Miller, J; Gutnick, T; Kuba, MJ</t>
  </si>
  <si>
    <t>Asada, Keishu; Nakajima, Ryuta; Nishibayashi, Takahiro; Ziadi-Kunzli, Fabienne; Lajbner, Zdenek; Miller, Jonathan; Gutnick, Tamar; Kuba, Michael J.</t>
  </si>
  <si>
    <t>Improving Keeping for Octopuses by Testing Different Escape-Proof Designs on Tanks for Big Blue Octopus (Octopus cyanea)</t>
  </si>
  <si>
    <t>octopus keeping; octopus escape; octopus laboratory</t>
  </si>
  <si>
    <t>CEPHALOPODS</t>
  </si>
  <si>
    <t>Octopus cyanea has a wide range of natural distribution and is interesting for scientific research. However, unlike Octopus vulgaris, the species is poorly studied, and few data exist on best practices for keeping them. One of the most common reasons for losing octopuses in human care is their ability to escape from holding tanks. Adult Octopus cyanea (n = 33) were locally collected in Okinawa throughout the year. All animals were housed at the laboratory facilities at the Marine Station of the Okinawa institute of Science and Technology. Animals were kept in a flow-through saltwater system in three different types of holding tanks ranging from 550 L to 600 L tanks or in 2000 L tanks, all with an environment enriched with clay pots or natural rocks as dens. They were fed a daily diet of dead fish or live or dead crustaceans ad libitum. To characterize the effectiveness of different keeping conditions, we compared escape attempts and non-natural deaths during the animals' time under human care. We found that two types of tanks, the 600 L transparent acrylic glass tanks with weighted lids and the 2000 L tanks with synthetic grass lined walls, had significantly fewer escapes than the 550 L tanks.</t>
  </si>
  <si>
    <t>[Asada, Keishu; Nishibayashi, Takahiro; Ziadi-Kunzli, Fabienne; Lajbner, Zdenek; Miller, Jonathan; Gutnick, Tamar; Kuba, Michael J.] Okinawa Inst Sci &amp; Technol Grad Univ OIST, Phys &amp; Biol Unit, 1919-1 Tancha, Onna, Okinawa 9040945, Japan; [Nakajima, Ryuta] Univ Minnesota, Dept Art &amp; Design, 1201 Ordean Ct, Duluth, MN 55812 USA</t>
  </si>
  <si>
    <t>Okinawa Institute of Science &amp; Technology Graduate University; University of Minnesota Duluth; University of Minnesota System; University of Minnesota Duluth</t>
  </si>
  <si>
    <t>Gutnick, T; Kuba, MJ (corresponding author), Okinawa Inst Sci &amp; Technol Grad Univ OIST, Phys &amp; Biol Unit, 1919-1 Tancha, Onna, Okinawa 9040945, Japan.</t>
  </si>
  <si>
    <t>Keishu.Asada@oist.jp; lazymonk22@gmail.com; Takahiro.Nishibayashi@oist.jp; fabienne.ziadi@oist.jp; lajbner@oist.jp; jm@oist.jp; tamar.gutnick@mail.huji.ac.il; michi.kuba@mac.com</t>
  </si>
  <si>
    <t>Japanese Kakenhi C Project [17K07493]</t>
  </si>
  <si>
    <t>Japanese Kakenhi C Project</t>
  </si>
  <si>
    <t>This work was supported by a Japanese Kakenhi C Project, code number 17K07493; from 2017-2020, for details please see https://nrid.nii.ac.jp/nrid/1000010790280/(Accessed on 12 September 2021).</t>
  </si>
  <si>
    <t>10.3390/app11188547</t>
  </si>
  <si>
    <t>WOS:000699192700001</t>
  </si>
  <si>
    <t>Al-Soudy, AS; Maselli, V; Galdiero, S; Kuba, MJ; Polese, G; Di Cosmo, A</t>
  </si>
  <si>
    <t>Al-Soudy, Al-Sayed; Maselli, Valeria; Galdiero, Stefania; Kuba, Michael J.; Polese, Gianluca; Di Cosmo, Anna</t>
  </si>
  <si>
    <t>Identification and Characterization of a Rhodopsin Kinase Gene in the Suckers of Octopus vulgaris: Looking around Using Arms?</t>
  </si>
  <si>
    <t>cephalopods; octopus; arm suckers; skin; retina; extra-ocular perception; GRK1</t>
  </si>
  <si>
    <t>PROTEIN-COUPLED RECEPTOR; BETA-GAMMA; VISUAL PIGMENTS; LIGHT; CUTTLEFISH; PHOTOTRANSDUCTION; SQUID; PHOTORECEPTOR; PERCEPTION; EXPRESSION</t>
  </si>
  <si>
    <t>Simple Summary Octopus arms are a fascinating and evolutionarily unique sensory organ, with hundreds of motile suckers, each with thousands of sensory cells, lining eight highly flexible arms. Scientifically, there are many open questions regarding the sensory capabilities of the arms and specifically the highly innervated suckers. In our present work, we used a multidisciplinary approach to fully characterize the light-sensing molecule, Ov-GRK1, in the suckers, skin and retina of Octopus vulgaris. We sequenced the O. vulgaris GRK1 gene, defining a phylogenetic tree and performing a 3D structure model prediction. We found differences in the relative expression of mRNA in different sucker types at several locations along the arm, which might indicate a functional difference. Using labeling methods, we localized the expression to the highly sensitive sucker rim. Our findings indicate that octopus suckers, in specific areas of the arm, might have the ability for light sensing. We therefore suggest that suckers are tactile, chemical and light sensors. In their foraging behavior octopuses rely on arm search movements outside the visual field of the eyes. In these movements the environment is explored primarily by the suckers that line the entire length of the octopus arm. In this study, for the first time, we report the complete characterization of a light-sensing molecule, Ov-GRK1, in the suckers, skin and retina of Octopus vulgaris. We sequenced the O. vulgaris GRK1 gene, defining a phylogenetic tree and performing a 3D structure model prediction. Furthermore, we found differences in relative mRNA expression in different sucker types at several arm levels, and localized it through in situ hybridization. Our findings suggest that the suckers in octopus arms are much more multimodal than was previously shown, adding the potential for light sensing to the already known mechanical and chemical sensing abilities.</t>
  </si>
  <si>
    <t>[Al-Soudy, Al-Sayed; Maselli, Valeria; Polese, Gianluca; Di Cosmo, Anna] Univ Naples Federico II, Dept Biol, Via Cinthia 26, I-80126 Naples, Italy; [Galdiero, Stefania] Univ Naples Federico II, Sch Med, Dept Pharm, Via Domenico Montesano 49, I-80131 Naples, Italy; [Kuba, Michael J.] Hebrew Univ Jerusalem, Dept Neurobiol, POB 12271, IL-91120 Jerusalem, Israel; [Kuba, Michael J.] Okinawa Inst Sci &amp; Technol Grad Univ OIST, Phys &amp; Biol Unit, 1919-1 Tancha, Onna Son, Okinawa 9040945, Japan</t>
  </si>
  <si>
    <t>University of Naples Federico II; University of Naples Federico II; Hebrew University of Jerusalem; Okinawa Institute of Science &amp; Technology Graduate University</t>
  </si>
  <si>
    <t>Di Cosmo, A (corresponding author), Univ Naples Federico II, Dept Biol, Via Cinthia 26, I-80126 Naples, Italy.</t>
  </si>
  <si>
    <t>alsayedalsoudymohamed.mostafa@unina.it; valeria.maselli@unina.it; stefania.galdiero@unina.it; michi.kuba@me.com; gianluca.polese@unina.it; dicosmo@unina.it</t>
  </si>
  <si>
    <t>10.3390/biology10090936</t>
  </si>
  <si>
    <t>WOS:000700561200001</t>
  </si>
  <si>
    <t>Ji, MY; Wang, CC; Yang, TY; Meng, XX; Wang, XQ; Li, MH</t>
  </si>
  <si>
    <t>Ji, Mingyue; Wang, Congcong; Yang, Tieyi; Meng, Xiangxi; Wang, Xiaoqin; Li, Minhui</t>
  </si>
  <si>
    <t>Integrated Phytochemical Analysis Based on UPLC-MS/MS and Network Pharmacology Approaches to Explore the Effect of Odontites vulgaris Moench on Rheumatoid Arthritis</t>
  </si>
  <si>
    <t>FRONTIERS IN PHARMACOLOGY</t>
  </si>
  <si>
    <t>Odontites vulgaris; rheumatoid arthritis; UPLC-MS; MS; network pharmacology; PI3k-Akt signal pathway; RAW 264; 7</t>
  </si>
  <si>
    <t>CHEMICAL-CONSTITUENTS; RAT PLASMA; NATURAL-PRODUCTS; ESI-MS/MS; IRIDOIDS; PHARMACOKINETICS; ANTIOXIDANT; KAEMPFEROL; COMPONENTS</t>
  </si>
  <si>
    <t>Odontites vulgaris Moench has the effect of clearing away heat, detoxification, dispelling wind, and clearing dampness. In this study, the potential anti-inflammatory compounds of O. vulgaris were investigated using ultra-high-performance liquid chromatography-mass spectrometry (UPLC-MS/MS) combined with the network pharmacology approach and further confirmed on an LPS-activated RAW 264.7 macrophage model. Monomer compounds were prepared from the active fraction using modern advanced separation and purification methods. UPLC-Q-Exactive HRMS was used to identify the chemical compounds in the active fractions of O. vulgaris. D-mannitol, geniposidic acid, salidroside, shanzhiside methyl ester, eleutheroside B, geniposide, 7,8-dihydroxycoumarin, gardoside methyl ester, arenarioside, vanillic acid, p-hydroxy-cinnamic acid, melampyroside, syringaresinol, tricin, and diosmetin were isolated from O. vulgaris for the first time. A compound database of O. vulgaris was established based on the existing literature to predict the mechanism of O. vulgaris in the treatment of rheumatoid arthritis. The results suggest that the PI3K-Akt pathway mediates O. vulgaris and deserves more attention in the treatment of RA. Finally, the anti-rheumatoid arthritis effects of the four target compounds were validated with the decreased levels of NO, TNF-alpha, IL-6 and IL-1 beta in RAW 264.7 macrophage cells treated with LPS. The present study explored the potential targets and signaling pathways of O. vulgaris in the treatment of RA, which may help to illustrate the mechanisms involved in the action of O. vulgaris and may provide a better understanding of the relationship between O. vulgaris and RA. This study provides novel insights into the development of new drugs and utilization of Mongolian traditional Chinese medicine resources.</t>
  </si>
  <si>
    <t>[Ji, Mingyue; Wang, Congcong; Meng, Xiangxi; Li, Minhui] Baotou Med Coll, Inner Mongolia Key Lab Characterist Geoherbs Reso, Baotou, Peoples R China; [Yang, Tieyi] Inner Mongolia Med Univ, Affiliated Hosp 2, Trauma Orthoped, Hohhot, Peoples R China; [Wang, Xiaoqin; Li, Minhui] Inner Mongolia Med Univ, Dept Pharm, Hohhot, Peoples R China; [Li, Minhui] Inner Mongolia Inst Tradit Chinese Med, Hohhot, Peoples R China; [Li, Minhui] Key Lab Resourceol Chinese Med Mat, Baotou, Peoples R China; [Li, Minhui] Inner Mongolia Engn Res Ctr Planting &amp; Dev Astrag, Baotou, Peoples R China</t>
  </si>
  <si>
    <t>Baotou Medical College; Inner Mongolia Medical University; Inner Mongolia Medical University</t>
  </si>
  <si>
    <t>Li, MH (corresponding author), Baotou Med Coll, Inner Mongolia Key Lab Characterist Geoherbs Reso, Baotou, Peoples R China.;Wang, XQ; Li, MH (corresponding author), Inner Mongolia Med Univ, Dept Pharm, Hohhot, Peoples R China.;Li, MH (corresponding author), Inner Mongolia Inst Tradit Chinese Med, Hohhot, Peoples R China.;Li, MH (corresponding author), Key Lab Resourceol Chinese Med Mat, Baotou, Peoples R China.;Li, MH (corresponding author), Inner Mongolia Engn Res Ctr Planting &amp; Dev Astrag, Baotou, Peoples R China.</t>
  </si>
  <si>
    <t>nywangxiaoqin@163.com; prof_liminhui@yeah.net</t>
  </si>
  <si>
    <t>National Natural Science Foundation of China [81874336]; China Agriculture Research System [CARS-21]; 2019 Medical Service and Security Capacity Enhancement Subsidy Project [(2019) 39]</t>
  </si>
  <si>
    <t>National Natural Science Foundation of China(National Natural Science Foundation of China (NSFC)); China Agriculture Research System; 2019 Medical Service and Security Capacity Enhancement Subsidy Project</t>
  </si>
  <si>
    <t>This research was funded by the National Natural Science Foundation of China (Grant No. 81874336), China Agriculture Research System (Grant No. CARS-21), 2019 Medical Service and Security Capacity Enhancement Subsidy Project (Grant No. Finance Society (2019) 39).</t>
  </si>
  <si>
    <t>10.3389/fphar.2021.707687</t>
  </si>
  <si>
    <t>WOS:000697892600001</t>
  </si>
  <si>
    <t>Gatts, PV; Franco, MAL; Almeida, MG; de Rezende, CE; Costa, PAS</t>
  </si>
  <si>
    <t>Gatts, P., V; Franco, M. A. L.; Almeida, M. G.; de Rezende, C. E.; Costa, P. A. S.</t>
  </si>
  <si>
    <t>Isotopic niche of coastal fish and cephalopods off the Campos Basin, southeastern Brazil</t>
  </si>
  <si>
    <t>Demersal nekton; Stable isotopes; Isotopic ecology; Trophic guilds</t>
  </si>
  <si>
    <t>CONTINENTAL-SHELF; STABLE-ISOTOPES; TROPHIC POSITION; ORGANIC-MATTER; FEEDING-HABITS; FOOD WEBS; SUL RIVER; MARINE; NITROGEN; ECOLOGY</t>
  </si>
  <si>
    <t>The stable isotopes of carbon (delta C-13) and nitrogen (delta N-15) of three demersal guilds (benthic feeders, benthic/ nekton feeders and nekton feeders) were assessed to understand their trophic relationships on the southeastern Brazilian coast. The organic matter (OM) pool that fuels the demersal food web is composed of a mixture of autochthonous (marine) and allochthonous (terrigenous) sources, highlighting the Paraiba do Sul River (PSR) influence in the shallow coastal waters, regardless of seasonality. Of the studied guilds, the nekton feeder guild (Doryteuthis plei, Lophius gastrophysus, Percophis brasiliensis and Saurida caribbaea) in the demersal food web had the highest delta N-15' values in the dry and rainy seasons. The benthic feeder guild (Atlantoraja platana, Dactylopterus volitans, Dules auriga, Etropus longimanus, Prionotus nudigula and Zapteryx brevirostris) presented the widest isotopic niche breadth (highest total niche area and trophic diversity) due to the assimilation of a variety of benthic crustaceans, with different isotope signatures. The assimilation of benthic and pelagic crustaceans by the benthic feeder and benthic/nekton feeder (Atlantoraja cyclophora, Octopus vulgaris and Priacanthus arenatus) guilds resulted in isotopic overlap (28.1-50.6%). Seasonal trends from benthic and inshore to pelagic and offshore associated food webs were observed for the benthic feeder and benthic/nekton feeder guilds. Our results highlight the importance of terrestrial OM sources from PSR to shallow coastal demersal food webs off inner and medium continental shelf in southeastern Brazil. In addition, the trophic relationships of megafauna from benthic to nekton feeders were discussed.</t>
  </si>
  <si>
    <t>[Gatts, P., V; Costa, P. A. S.] Univ Fed Fluminense, Inst Geociencias, Programa Pos Grad Dinam Oceanos &amp; Terra, BR-24210346 Niteroi, RJ, Brazil; [Gatts, P., V; Franco, M. A. L.; Almeida, M. G.; de Rezende, C. E.] Univ Estadual Norte Fluminense, Ctr Biociencias &amp; Biotecnol, Lab Ciencias Ambientais, BR-28013602 Campos Dos Goytacazes, RJ, Brazil; [Costa, P. A. S.] Univ Fed Estado Rio de Janeiro, Inst Biociencias, Dept Ecol &amp; Recursos Marinhos, BR-22290240 Rio De Janeiro, RJ, Brazil</t>
  </si>
  <si>
    <t>Universidade Federal Fluminense; Universidade Estadual do Norte Fluminense; Universidade Federal do Estado do Rio de Janeiro</t>
  </si>
  <si>
    <t>Gatts, PV (corresponding author), Univ Estadual Norte Fluminense, Ctr Biociencias &amp; Biotecnol, Lab Ciencias Ambientais, BR-28013602 Campos Dos Goytacazes, RJ, Brazil.</t>
  </si>
  <si>
    <t>pedrogatts90@gmail.com; malfranco@yahoo.com.br; marcelogaa@yahoo.com.br; crezende@uenf.br; paulocosta.unirio@gmail.com</t>
  </si>
  <si>
    <t>Fundacao Carlos Chagas Filho de Amparo a Pesquisa do Estado do Rio de Janeiro - FAPERJ [FAPERJ E 26/202.916/2017, PRONEX - E 26/010.001272/2016]; Conselho Nacional de Desenvolvimento Cientifico e Tecnologico - CNPQ [305217/2017-8]; Coordenacao de Aperfeicoamento de Pessoal de Nivel Superior -Brasil (CAPES) [001]; UENF</t>
  </si>
  <si>
    <t>Fundacao Carlos Chagas Filho de Amparo a Pesquisa do Estado do Rio de Janeiro - FAPERJ(Fundacao Carlos Chagas Filho de Amparo a Pesquisa do Estado do Rio De Janeiro (FAPERJ)); Conselho Nacional de Desenvolvimento Cientifico e Tecnologico - CNPQ(Conselho Nacional de Desenvolvimento Cientifico e Tecnologico (CNPQ)); Coordenacao de Aperfeicoamento de Pessoal de Nivel Superior -Brasil (CAPES)(Coordenacao de Aperfeicoamento de Pessoal de Nivel Superior (CAPES)); UENF</t>
  </si>
  <si>
    <t>This research was supported by Fundacao Carlos Chagas Filho de Amparo a Pesquisa do Estado do Rio de Janeiro - FAPERJ (Rezende CE, Grant number FAPERJ E 26/202.916/2017 and PRONEX - E 26/010.001272/2016) and by Conselho Nacional de Desenvolvimento Cientifico e Tecnologico - CNPQ (Rezende CE, Grant Number 305217/2017-8). Likewise, this research study was financed in part by the Coordenacao de Aperfeicoamento de Pessoal de Nivel Superior -Brasil (CAPES) - Finance Code 001. Currently, the main author is receiving financial support as a postdoctoral fellow at UENF.</t>
  </si>
  <si>
    <t>OCT 31</t>
  </si>
  <si>
    <t>10.1016/j.ecss.2021.107563</t>
  </si>
  <si>
    <t>AUG 2021</t>
  </si>
  <si>
    <t>WOS:000704738300004</t>
  </si>
  <si>
    <t>Deryckere, A; Styfhals, R; Elagoz, AM; Maes, GE; Seuntjens, E</t>
  </si>
  <si>
    <t>Deryckere, Astrid; Styfhals, Ruth; Elagoz, Ali Murat; Maes, Gregory E.; Seuntjens, Eve</t>
  </si>
  <si>
    <t>Identification of neural progenitor cells and their progeny reveals long distance migration in the developing octopus brain</t>
  </si>
  <si>
    <t>SEPIA-OFFICINALIS MOLLUSCA; NERVOUS-SYSTEM; SOX FAMILY; NEUROBLAST SEGREGATION; EMBRYONIC-DEVELOPMENT; GENE-EXPRESSION; HISTONE H3; DROSOPHILA; NEUROGENESIS; EVOLUTION</t>
  </si>
  <si>
    <t>Cephalopods have evolved nervous systems that parallel the complexity of mammalian brains in terms of neuronal numbers and richness in behavioral output. How the cephalopod brain develops has only been described at the morphological level, and it remains unclear where the progenitor cells are located and what molecular factors drive neurogenesis. Using histological techniques, we located dividing cells, neural progenitors and postmitotic neurons in Octopus vulgaris embryos. Our results indicate that an important pool of progenitors, expressing the conserved bHLH transcription factors achaete-scute or neurogenin, is located outside the central brain cords in the lateral lips adjacent to the eyes, suggesting that newly formed neurons migrate into the cords. Lineage-tracing experiments then showed that progenitors, depending on their location in the lateral lips, generate neurons for the different lobes, similar to the squid Doryteuthis pealeii. The finding that octopus newborn neurons migrate over long distances is reminiscent of vertebrate neurogenesis and suggests it might be a fundamental strategy for large brain development.</t>
  </si>
  <si>
    <t>[Deryckere, Astrid; Styfhals, Ruth; Elagoz, Ali Murat; Seuntjens, Eve] Katholieke Univ Leuven, Lab Dev Neurobiol, Dept Biol, Leuven, Belgium; [Styfhals, Ruth] Stn Zool Anton Dohrn, Dept Biol &amp; Evolut Marine Organisms, Naples, Italy; [Maes, Gregory E.] UZ KU Leuven, Ctr Human Genet, Genom Core, Leuven, Belgium; [Maes, Gregory E.] James Cook Univ, Coll Sci &amp; Engn, Ctr Sustainable Trop Fisheries &amp; Aquaculture, Townsville, Qld, Australia; [Maes, Gregory E.] Katholieke Univ Leuven, Lab Biodivers &amp; Evolutionary Genom, Dept Biol, Leuven, Belgium; [Deryckere, Astrid] Columbia Univ, Dept Biol Sci, New York, NY 10027 USA</t>
  </si>
  <si>
    <t>KU Leuven; Stazione Zoologica Anton Dohrn; KU Leuven; James Cook University; KU Leuven; Columbia University</t>
  </si>
  <si>
    <t>Deryckere, A; Seuntjens, E (corresponding author), Katholieke Univ Leuven, Lab Dev Neurobiol, Dept Biol, Leuven, Belgium.;Deryckere, A (corresponding author), Columbia Univ, Dept Biol Sci, New York, NY 10027 USA.</t>
  </si>
  <si>
    <t>ad3846@columbia.edu; eve.seuntjens@kuleuven.be</t>
  </si>
  <si>
    <t>Fonds Wetenschappelijk Onderzoek [SB/1S19517N, SB/11D4120N]; KU Leuven [N/20/007, IOFm/17/014]; Stazione Zoologica Anton Dohrn</t>
  </si>
  <si>
    <t>Fonds Wetenschappelijk Onderzoek(FWO); KU Leuven(KU Leuven); Stazione Zoologica Anton Dohrn</t>
  </si>
  <si>
    <t>Fonds Wetenschappelijk Onderzoek SB/1S19517N Astrid Deryckere Fonds Wetenschappelijk Onderzoek SB/11D4120N Ali Murat Elagoz KU Leuven ID-N/20/007 Eve Seuntjens Stazione Zoologica Anton Dohrn Ruth Styfhals KU Leuven IOFm/17/014 Gregory E Maes</t>
  </si>
  <si>
    <t>AUG 24</t>
  </si>
  <si>
    <t>e69161</t>
  </si>
  <si>
    <t>10.7554/eLife.69161</t>
  </si>
  <si>
    <t>WOS:000689519000001</t>
  </si>
  <si>
    <t>Santoro, M; Crocetta, F; Palomba, M</t>
  </si>
  <si>
    <t>Santoro, Mario; Crocetta, Fabio; Palomba, Marialetizia</t>
  </si>
  <si>
    <t>Morphological updates, host-specificity, molecular data and phylogenetic analysis of Acanthobothrium coronatum (Cestoda: Onchoproteocephalidea), a neglected parasite of the nursehound Scyliorhinus stellaris</t>
  </si>
  <si>
    <t>INFECTION GENETICS AND EVOLUTION</t>
  </si>
  <si>
    <t>Acanthobothrium coronatum; Gulf of Naples; Mediterranean Sea; Elasmobranch fishes; Helminths; Host-specificity</t>
  </si>
  <si>
    <t>TAPEWORMS PLATYHELMINTHES; TETRAPHYLLIDEA; ELASMOBRANCHII; SHARK; INTERRELATIONSHIPS; IDENTIFICATION; DASYATIDAE; ECOLOGY; LARVAE</t>
  </si>
  <si>
    <t>Acanthobothrium is the most speciose genus of onchoproteocephalidean cestodes, whose adults parasitize the intestine of elasmobranch fishes. Acanthobothrium coronatum, the type species of the genus described from Mediterranean elasmobranchs, remains a little known parasite, with the most recent reports dating back to the fifties. We hereby investigate host-specificity and redescribe A. coronatum from the same locality of its original description by using light and scanning electron microscopy approaches. Moreover, molecular and phylogenetic data inferred from the analysis of the 28S rDNA gene are reported for the first time. Out of the nine elasmobranch species examined from Gulf of Naples, we only detected A. coronatum in the intestine of Scyliorhinus stellaris, with infection patterns that supports evident host-specificity for this shark species. The genetic characterization of 28S rDNA showed 99.8-100% similarity with larvae previously found in Octopus vulgaris from the same area investigated here. Conspecificity between the present material and the larvae found in the octopus was also confirmed by the tree topology. The host-parasite phylogeny is discussed, even if additional molecular data are needed to clarify potential host-parasite patterns. Notwithstanding this limitation, this is the first molecular study revealing conspecificity between an adult Acanthobothrium species from a shark and the larvae found in an intermediate/paratenic host, shedding light on the transmission pathway of A. coronatum in S. stellaris. Finally, the taxonomic, molecular, and phylogenetic data presented here allow a better characterization of a neglected parasite.</t>
  </si>
  <si>
    <t>[Santoro, Mario; Crocetta, Fabio; Palomba, Marialetizia] Stn Zool Anton Dohrn, Dept Integrat Marine Ecol, Villa Comunale 1, I-80121 Naples, Italy</t>
  </si>
  <si>
    <t>Santoro, M (corresponding author), Stn Zool Anton Dohrn, Dept Integrat Marine Ecol, Villa Comunale 1, I-80121 Naples, Italy.</t>
  </si>
  <si>
    <t>mario.santoro@szn.it</t>
  </si>
  <si>
    <t>project ADViSE [PG/2018/0494374]</t>
  </si>
  <si>
    <t>project ADViSE</t>
  </si>
  <si>
    <t>Sampling in the Gulf of Naples was supported by the project ADViSE (PG/2018/0494374) . The Maglione family (Fabrizio, Francesco, Giu-seppe, Salvatore, and Vincenzo) (Giovanni Padre fishing vessel, Naples, Italy) offered the highest possible support during trawling activities.</t>
  </si>
  <si>
    <t>10.1016/j.meegid.2021.105023</t>
  </si>
  <si>
    <t>Infectious Diseases</t>
  </si>
  <si>
    <t>WOS:000702862600006</t>
  </si>
  <si>
    <t>Tapia-Vasquez, AE; Rodríguez-Ramírez, R; Ezquerra-Brauer, JM; Suárez-Jiménez, GM; Ramírez-Guerra, HE; Cota-Arriola, O; Torres-Arreola, W</t>
  </si>
  <si>
    <t>Tapia-Vasquez, Angel E.; Rodriguez-Ramirez, Roberto; Ezquerra-Brauer, Josafat M.; Suarez-Jimenez, Guadalupe M.; Ramirez-Guerra, Hugo E.; Cota-Arriola, Octavio; Torres-Arreola, Wilfrido</t>
  </si>
  <si>
    <t>Collagen in Cephalopods: An Overview of Its Physicochemical Properties and Influence on Muscle Texture</t>
  </si>
  <si>
    <t>Lysyl oxidase; pyridinoline; jumbo squid; common octopus; cuttlefish</t>
  </si>
  <si>
    <t>DOSIDICUS-GIGAS MUSCLE; LYSYL OXIDASE ACTIVITY; CONNECTIVE-TISSUE; SQUID MANTLE; SKIN; OCTOPUS; FIRMNESS; FUNCTIONALITY; SOLUBILITY; EXTRACTION</t>
  </si>
  <si>
    <t>Muscle texture, which plays an important role in the acceptability and commercialization of seafood products, can be affected by collagen, the principal component of connective tissue in animals. In recent years, research in food science and technology has focused on how the physicochemical properties of collagen and cross-linking indicators affect the muscular texture of cephalopods; nonetheless, to date there are no reviews addressing these issues together. Information has been gathered on the physicochemical characterization and the collagen cross-linking level from the main cephalopods, founding a close interdependence with the structural characteristic of their muscle. As a conclusion, it is suggested that the texture of cephalopods is tougher than that of other marine organisms because their muscle fibers are covered by more extensively crosslinked connective tissue; therefore, the muscle is more stable during post-catch handling, such as during heating, freezing, and other processes that affect the quality of their meat.</t>
  </si>
  <si>
    <t>[Tapia-Vasquez, Angel E.; Ezquerra-Brauer, Josafat M.; Suarez-Jimenez, Guadalupe M.; Torres-Arreola, Wilfrido] Univ Sonora, Dept Invest &amp; Posgrad Alimentos, Blvd Luis Encinas &amp; Rosales S-N Apdo Postal 1658, Hermosillo 83000, Sonora, Mexico; [Rodriguez-Ramirez, Roberto] Inst Tecnol Sonora, Obregon, Mexico; [Ramirez-Guerra, Hugo E.; Cota-Arriola, Octavio] Univ Estatal Sonora, Hermosillo, Sonora, Mexico</t>
  </si>
  <si>
    <t>Universidad de Sonora</t>
  </si>
  <si>
    <t>Torres-Arreola, W (corresponding author), Univ Sonora, Dept Invest &amp; Posgrad Alimentos, Blvd Luis Encinas &amp; Rosales S-N Apdo Postal 1658, Hermosillo 83000, Sonora, Mexico.</t>
  </si>
  <si>
    <t>Consejo Nacional de Ciencia y Tecnologia (CONACyT) [180214, 711844]</t>
  </si>
  <si>
    <t>Consejo Nacional de Ciencia y Tecnologia (CONACyT)(Consejo Nacional de Ciencia y Tecnologia (CONACyT))</t>
  </si>
  <si>
    <t>We thank the Consejo Nacional de Ciencia y Tecnologia (CONACyT) for funding this work through project 180214 and for the scholarship awarded to Angel Edgardo Tapia-Vasquez [grant number 711844].</t>
  </si>
  <si>
    <t>SEP 14</t>
  </si>
  <si>
    <t>10.1080/10498850.2021.1962470</t>
  </si>
  <si>
    <t>WOS:000682369500001</t>
  </si>
  <si>
    <t>Li, FH; Liu, YY; Qin, B; Bian, L; Ge, JL; Chang, Q; Liu, H; Chen, SQ</t>
  </si>
  <si>
    <t>Li, Fenghui; Liu, Yuyan; Qin, Bo; Bian, Li; Ge, Jianlong; Chang, Qing; Liu, Hui; Chen, Siqing</t>
  </si>
  <si>
    <t>Sequence and phylogenetic analysis of the mitochondrial genome for the East Asian common octopus, Octopus sinensis (Octopodidae: Octopoda)</t>
  </si>
  <si>
    <t>MITOCHONDRIAL DNA PART B-RESOURCES</t>
  </si>
  <si>
    <t>mtDNA; Octopus sinensis; mitochondrion; phylogenetic analysis</t>
  </si>
  <si>
    <t>The complete mitochondrial genome of the East Asian common octopus (Octopus sinensis) was determined and analyzed in this work. The circular mitogenome of O. sinensis is 15,737 bp in length with 21.53% GC content, which contains two ribosomal RNA genes (rRNAs), 22 transfer RNA genes (tRNAs), 13 protein-coding genes (PCGs) and a non-coding region (D-loop). The analysis of the SNPs revealed 4 conservative SNPs for COI gene of O. sinensis compared with Octopus vulgaris. Phylogenetic analysis suggested that O. sinensis is closely related to O. vulgaris. This sequence data would play an important role in the investigation of phylogenetic relationship and taxonomy of the class Cephalopoda.</t>
  </si>
  <si>
    <t>[Li, Fenghui; Liu, Yuyan; Bian, Li; Ge, Jianlong; Chang, Qing; Liu, Hui; Chen, Siqing] Chinese Acad Fishery Sci, Pilot Natl Lab Marine Sci &amp; Technol Qingdao, Yellow Sea Fisheries Res Inst, Lab Marine Fisheries Sci &amp; Food Prod Proc, Qingdao, Peoples R China; [Li, Fenghui; Liu, Yuyan] Shanghai Ocean Univ, Natl Demonstrat Ctr Expt Fisheries Sci Educ, Shanghai Engn Res Ctr Agr, Shanghai Collaborat Innovat Aquat Anim Genet, 999 Huchenghuan Rd,Lingang New Dist, Shanghai, Peoples R China; [Qin, Bo] East China Sea Fisheries Res Inst, Chinese Acad Fishery Sci, Shanghai, Peoples R China</t>
  </si>
  <si>
    <t>Chinese Academy of Fishery Sciences; Yellow Sea Fisheries Research Institute, CAFS; Laoshan Laboratory; Shanghai Ocean University; Chinese Academy of Fishery Sciences; East China Sea Fisheries Research Institute, CAFS</t>
  </si>
  <si>
    <t>Chen, SQ (corresponding author), Chinese Acad Fishery Sci, Pilot Natl Lab Marine Sci &amp; Technol Qingdao, Yellow Sea Fisheries Res Inst, Lab Marine Fisheries Sci &amp; Food Prod Proc, Qingdao, Peoples R China.</t>
  </si>
  <si>
    <t>China Agriculture Research System of MOF and MARA; Central Public-interest Scientific Institution Basal Research Fund for Chinese Academy of Tropical Agricultural Sciences, CAFS [2020GH02]</t>
  </si>
  <si>
    <t>China Agriculture Research System of MOF and MARA; Central Public-interest Scientific Institution Basal Research Fund for Chinese Academy of Tropical Agricultural Sciences, CAFS</t>
  </si>
  <si>
    <t>This work was supported by the China Agriculture Research System of MOF and MARA; Central Public-interest Scientific Institution Basal Research Fund for Chinese Academy of Tropical Agricultural Sciences, CAFS under Grant [NO. 2020GH02].</t>
  </si>
  <si>
    <t>AUG 3</t>
  </si>
  <si>
    <t>10.1080/23802359.2021.1944360</t>
  </si>
  <si>
    <t>WOS:000667568800001</t>
  </si>
  <si>
    <t>Velasco, A; Ramilo-Fernández, G; Denis, F; Oliveira, L; Shum, P; Silva, H; Sotelo, CG</t>
  </si>
  <si>
    <t>Velasco, Amaya; Ramilo-Fernandez, Graciela; Denis, Francoise; Oliveira, Luis; Shum, Peter; Silva, Helena; Sotelo, Carmen G.</t>
  </si>
  <si>
    <t>A New Rapid Method for the Authentication of Common Octopus (Octopus vulgaris) in Seafood Products Using Recombinase Polymerase Amplification (RPA) and Lateral Flow Assay (LFA)</t>
  </si>
  <si>
    <t>Octopus; Octopus vulgaris; RPA; Lateral Flow detection; species authentication; seafood control</t>
  </si>
  <si>
    <t>IDENTIFICATION; DNA; OMMASTREPHIDAE; LOLIGINIDAE; MEAT</t>
  </si>
  <si>
    <t>The common octopus (Octopus vulgaris) is a highly valued cephalopod species which is marketed with different grades of processing, such as frozen, cooked or even canned, and is likely to be mislabeled. Some molecular methods have been developed for the authentication of these products, but they are either labor-intensive and/or require specialized equipment and personnel. This work describes a newly designed rapid, sensitive and easy-to-use method for the detection of Octopus vulgaris in food products, based on Recombinase Polymerase Amplification (RPA) and a detection using a Lateral Flow assay (LFA). After studying several gene markers, a system of primers and nfo-probe was designed in the COI (Cytochrome Oxidase I) region and was successfully tested in 32 reference samples (covering 14 species) and 32 commercial products, after optimization. The method was also validated in a ring trial with eight European laboratories and represents a useful tool for food authenticity control at all levels of the value chain.</t>
  </si>
  <si>
    <t>[Velasco, Amaya; Ramilo-Fernandez, Graciela; Sotelo, Carmen G.] Inst Invest Marinas IIM CSIC, Eduardo Cabello 6, Pontevedra 36208, Spain; [Denis, Francoise] UA BIOSSE Le Mans Univ, UCN, BOREA MNHN, CNRS 8067,IRD 207,SU, F-72000 Le Mans, France; [Oliveira, Luis; Silva, Helena] Inst Portugues Mar &amp; Atmosfera IPMA, IP, Av Dr Alfredo Magalhaes Ramalho 6, P-1495165 Alges, Portugal; [Shum, Peter] Liverpool John Moores Univ LJMU, Sch Biol &amp; Environm Sci, Liverpool L2 2QP, Merseyside, England</t>
  </si>
  <si>
    <t>Consejo Superior de Investigaciones Cientificas (CSIC); CSIC - Instituto de Investigaciones Marinas (IIM); Le Mans Universite; Institut de Recherche pour le Developpement (IRD); Centre National de la Recherche Scientifique (CNRS); Museum National d'Histoire Naturelle (MNHN); Sorbonne Universite; Instituto Portugues do Mar e da Atmosfera; Liverpool John Moores University</t>
  </si>
  <si>
    <t>Velasco, A (corresponding author), Inst Invest Marinas IIM CSIC, Eduardo Cabello 6, Pontevedra 36208, Spain.</t>
  </si>
  <si>
    <t>amayavelasco@iim.csic.es; graciela@iim.csic.es; francoise.denis@univ-lemans.fr; luis.oliveira@ipma.pt; p.shum@ljmu.ac.uk; hsilva@ipma.pt; carmen@iim.csic.es</t>
  </si>
  <si>
    <t>EU Interreg Atlantic Area Programme [EAPA_87/2016]</t>
  </si>
  <si>
    <t>EU Interreg Atlantic Area Programme(Interreg Europe)</t>
  </si>
  <si>
    <t>This study is part of the SEATRACES project (www.seatraces.eu), funded by the EU Interreg Atlantic Area Programme (project number EAPA_87/2016).</t>
  </si>
  <si>
    <t>10.3390/foods10081825</t>
  </si>
  <si>
    <t>WOS:000689319400001</t>
  </si>
  <si>
    <t>Ulman, A; Harris, HEE; Doumpas, N; Akbora, HD; Al Mabruk, SAA; Azzurro, E; Bariche, M; Çiçek, BA; Deidun, A; Demirel, N; Fogg, AQQ; Katsavenakis, S; Kletou, D; Kleitou, P; Papadopoulou, A; Ben Souissi, J; Hall-Spencer, JMM; Tiralongo, F; Yildiz, T</t>
  </si>
  <si>
    <t>Ulman, Aylin; Harris, Holden E. E.; Doumpas, Nikos; Deniz Akbora, Hasan; Al Mabruk, Sara A. A.; Azzurro, Ernesto; Bariche, Michel; Cicek, Burak Ali; Deidun, Alan; Demirel, Nazli; Fogg, Alexander Q. Q.; Katsavenakis, Stelios; Kletou, Demetris; Kleitou, Periklis; Papadopoulou, Athina; Ben Souissi, Jamila; Hall-Spencer, Jason M. M.; Tiralongo, Francesco; Yildiz, Taner</t>
  </si>
  <si>
    <t>Low Pufferfish and Lionfish Predation in Their Native and Invaded Ranges Suggests Human Control Mechanisms May Be Necessary to Control Their Mediterranean Abundances</t>
  </si>
  <si>
    <t>cannibalism; invasive alien species; marine protected areas; predator-prey; trophic ecology; Lagocephalus; Pterois</t>
  </si>
  <si>
    <t>LAGOCEPHALUS-SCELERATUS GMELIN; INDO-PACIFIC LIONFISH; INVASIVE RED LIONFISH; PTEROIS-MILES; SEA; VOLITANS; ALIEN; DIET; SCORPAENIDAE; MANAGEMENT</t>
  </si>
  <si>
    <t>The silver-cheeked toadfish (Lagocephalus sceleratus, from the pufferfish family Tetraodontidae) and the Pacific red lionfish (Pterois miles, family Scorpaenidae) have recently invaded the Mediterranean Sea. Lagocephalus sceleratus has spread throughout this entire sea with the highest concentrations in the eastern basin, while more recently, Pterois miles has spread from the Eastern to the Central Mediterranean Sea. Their effects on local biodiversity and fisheries are cause for management concern. Here, a comprehensive review of predators of these two species from their native Indo-Pacific and invaded Mediterranean and Western Atlantic ranges is presented. Predators of Tetraodontidae in general were reviewed for their native Indo-Pacific and Western Atlantic ranges, as no records were found specifically for L. sceleratus in its native range. Tetraodontidae predators in their native ranges included mantis shrimp (Stomatopoda), lizardfish (Synodus spp.), tiger shark (Galeocerdo cuvier), lemon shark (Negaprion brevirostris), sea snakes (Enhydrina spp.), catfish (Arius spp.), cobia (Rachycentron canadum), skipjack tuna (Katsuwonus pelamis), and common octopus (Octopus vulgaris). The only reported predator of adult L. sceleratus in the Mediterranean was loggerhead turtle (Caretta caretta), whereas juvenile L. sceleratus were preyed by common dolphinfish (Coryphaena hippurus) and garfish (Belone belone). Conspecific cannibalism of L. sceleratus juveniles was also confirmed in the Mediterranean. Pufferfish predators in the Western Atlantic included common octopus, frogfish (Antennaridae), and several marine birds. Predators of all lionfish species in their native Indo-Pacific range included humpback scorpionfish (Scorpaenopsis spp.), bobbit worms (Eunice aphroditois), moray eels (Muraenidae), and bluespotted cornetfish (Fistularia commersonii). Lionfish predators in the Mediterranean included dusky grouper (Epinephelus marginatus), white grouper (Epinephelus aeneus), common octopus, and L. sceleratus, whereas in the Western Atlantic included the spotted moray (Gymnothorax moringa), multiple grouper species (tiger Mycteroperca tigris, Nassau Epinephelus striatus, black Mycteroperca bonaci, red Epinephelus morio, and gag Mycteroperca microleps; Epinephelidae), northern red snapper (Lutjanus campechanus), greater amberjack (Seriola dumerilli), and nurse shark (Ginglymostoma cirratum). The sparse data found on natural predation for these species suggest that population control via predation may be limited. Their population control may require proactive, targeted human removals, as is currently practiced with lionfish in the Western Atlantic.</t>
  </si>
  <si>
    <t>[Ulman, Aylin] Mersea Marine Consulting, Fethiye, Turkey; [Harris, Holden E. E.] Univ Florida, Inst Food &amp; Agr Sci, Nat Coast Biol Stn, Gainesville, FL 32611 USA; [Doumpas, Nikos; Papadopoulou, Athina] Environm Org Preservat Aquat Ecosyst, ISea, Thessaloniki, Greece; [Deniz Akbora, Hasan; Cicek, Burak Ali] Eastern Mediterranean Univ, Fac Arts &amp; Sci, Dept Biol Sci, Gazimagusa, Cyprus; [Deniz Akbora, Hasan; Cicek, Burak Ali] Eastern Mediterranean Univ, Underwater Res &amp; Imaging Ctr, Gazimagusa, Cyprus; [Al Mabruk, Sara A. A.] Higher Inst Sci &amp; Technol, Cyrene, Libya; [Azzurro, Ernesto] Inst Biol Resources &amp; Marine Biotechnol, Natl Res Council, CNR IRBIM, Ancona, Italy; [Azzurro, Ernesto] Staz Zool Anton Dohrn SZN, Naples, Italy; [Bariche, Michel] Amer Univ Beirut, Dept Biol, Beirut, Lebanon; [Deidun, Alan] Univ Malta, Dept Geosci, Fac Sci, Msida, Malta; [Demirel, Nazli] Istanbul Univ, Inst Marine Sci &amp; Management, Istanbul, Turkey; [Fogg, Alexander Q. Q.] Okaloosa Cty Board Cty Commissioners, Destin Ft Walton Beach, FL USA; [Katsavenakis, Stelios] Univ Aegean, Dept Marine Sci, Mitilini, Greece; [Kletou, Demetris; Kleitou, Periklis] Marine &amp; Environm Res MER Lab, Limassol, Cyprus; [Kleitou, Periklis; Hall-Spencer, Jason M. M.] Univ Plymouth, Sch Biol &amp; Marine Sci, Plymouth, Devon, England; [Ben Souissi, Jamila] Univ Carthage, Inst Natl Agronom Tunisie, Tunis, Tunisia; [Ben Souissi, Jamila] Univ Tunis El Manar, Lab Biodiversite Biotechnol &amp; Changements Climat, Tunis, Tunisia; [Hall-Spencer, Jason M. M.] Univ Tsukuba, Shimoda Marine Res Ctr, Tsukuba, Ibaraki, Japan; [Tiralongo, Francesco] Ente Fauna Marina Mediterranea, Avola, Italy; [Tiralongo, Francesco] Univ Catania, Dept Biol Geol &amp; Environm Sci, Catania, Italy; [Yildiz, Taner] Istanbul Univ, Fac Aquat Sci, Istanbul, Turkey</t>
  </si>
  <si>
    <t>State University System of Florida; University of Florida; Eastern Mediterranean University; Eastern Mediterranean University; Consiglio Nazionale delle Ricerche (CNR); Istituto per le Risorse Biologiche Biotecnologie Marine (IRBIM-CNR); Stazione Zoologica Anton Dohrn; American University of Beirut; University of Malta; Istanbul University; University of Aegean; University of Plymouth; Universite de Carthage; Universite de Tunis-El-Manar; University of Tsukuba; Ente Fauna Marina Mediterranea; University of Catania; Istanbul University</t>
  </si>
  <si>
    <t>Ulman, A (corresponding author), Mersea Marine Consulting, Fethiye, Turkey.</t>
  </si>
  <si>
    <t>uaylin@hotmail.com</t>
  </si>
  <si>
    <t>Hellenic Foundation for Research and Innovation (H.F.R.I.) [HFRI-FM17-1597]; LIFE of the European Union [LIFE16 NAT/CY/000832]</t>
  </si>
  <si>
    <t>Hellenic Foundation for Research and Innovation (H.F.R.I.); LIFE of the European Union</t>
  </si>
  <si>
    <t>SK was supported by the Hellenic Foundation for Research and Innovation (H.F.R.I.) under the First Call for H.F.R.I. Research Projects to support Faculty members and Researchers and the procurement of high-cost research equipment grant (Project ALAS-ALiens in the Aegean-a Sea under siege, Project No: HFRI-FM17-1597). DK, JH-S, and PK were supported by the LIFE financial instrument of the European Union in the framework of the project RELIONMED-preventing a lionfish invasion in the Mediterranean through early response and targeted removal (LIFE16 NAT/CY/000832).</t>
  </si>
  <si>
    <t>JUL 16</t>
  </si>
  <si>
    <t>10.3389/fmars.2021.670413</t>
  </si>
  <si>
    <t>WOS:000680040800001</t>
  </si>
  <si>
    <t>Santana-Cisneros, ML; Ardisson, PL; González, AF; Mariño-Tapia, I; Cahuich-López, M; Angeles-González, LE; Ordoñez-López, U; Velázquez-Abunader, I</t>
  </si>
  <si>
    <t>Santana-Cisneros, Mariana L.; Ardisson, Pedro-Luis; Gonzalez, Angel F.; Marino-Tapia, Ismael; Cahuich-Lopez, Miguel; Enrique Angeles-Gonzalez, Luis; Ordonez-Lopez, Uriel; Velazquez-Abunader, Ivan</t>
  </si>
  <si>
    <t>Dispersal modeling of octopoda paralarvae in the Gulf of Mexico</t>
  </si>
  <si>
    <t>fertility; Gulf of Mexico; Lagrangian model; larval transport; MaxEnt; octopus; settlement</t>
  </si>
  <si>
    <t>CEPHALOPOD PARALARVAE; LARVAL DISPERSAL; INSULARIS LEITE; 1ST RECORD; VULGARIS; COASTAL; LIFE; ATLANTIC; DYNAMICS; SHELF</t>
  </si>
  <si>
    <t>The dynamics and population structure of octopus species in the Gulf of Mexico (GoM) can be studied by analyzing dispersal paralarvae mechanisms. Accordingly, this study focused on understanding octopus paralarval dispersal using numerical modeling. A Lagrangian approach was implemented using the transport model ICHTHYOP and surface currents from a GoM simulation of the HYbrid Coordinate Ocean Model (HYCOM). We modeled the dispersal of four octopus species from the GoM (Octopus vulgaris, Octopus insularis, Macrotritopus defilippi, and Amphioctopus burryi), considering two regions as the source of larvae in the southern GoM, namely the Yucatan shelf and the Veracruz coastal waters. Additionally, an environmental suitability analysis was incorporated using the maximum entropy (MaxEnt) model to establish potential settlement areas under the influence of the water masses' thermal conditions. The simulation results supported the hypothesis that the abundances recorded in the GoM were influenced by the fertility (egg-laying) of each species, surface water circulation (the Loop Current, eddies, and wind), and sea surface temperature. Greater dispersal was obtained throughout the GoM for Yucatan species O. vulgaris, registering the highest settlement rates. In contrast, in Veracruz, O. insularis dispersed and settled only in the western portion of the GoM. The relevance of the ecological descriptors proposed to influence the dispersal and abundance of octopods throughout the GoM's coastal waters are discussed.</t>
  </si>
  <si>
    <t>[Santana-Cisneros, Mariana L.; Ardisson, Pedro-Luis; Cahuich-Lopez, Miguel; Ordonez-Lopez, Uriel; Velazquez-Abunader, Ivan] Cinvestav, Dept Recursos Mar, Carretera Antigua Progreso,Km 6, Merida 97310, Yucatan, Mexico; [Gonzalez, Angel F.] CSIC, Inst Invest Marinas, Vigo, Spain; [Marino-Tapia, Ismael] UNAM, Dept Matemat Aplicadas &amp; Comp, ENES, Merida, Mexico; [Enrique Angeles-Gonzalez, Luis] Univ Nacl Autonoma Mexico, Fac Ciencias, Lab Ecofisiol Aplicada, Unidad Multidisciplinaria Docencia &amp; Invest, Sisal, Mexico</t>
  </si>
  <si>
    <t>Instituto Politecnico Nacional - Mexico; CINVESTAV - Centro de Investigacion y de Estudios Avanzados del Instituto Politecnico Nacional; Consejo Superior de Investigaciones Cientificas (CSIC); CSIC - Instituto de Investigaciones Marinas (IIM); Universidad Nacional Autonoma de Mexico; Universidad Nacional Autonoma de Mexico</t>
  </si>
  <si>
    <t>Velázquez-Abunader, I (corresponding author), Cinvestav, Dept Recursos Mar, Carretera Antigua Progreso,Km 6, Merida 97310, Yucatan, Mexico.</t>
  </si>
  <si>
    <t>jvelazquez@cinvestav.mx</t>
  </si>
  <si>
    <t>Consejo Nacional de Ciencia y Tecnologia [237057, 589996, 247043]; Consejo Nacional de Ciencia y Tecnologia - Mexican Ministry of Energy -Hydrocarbon Fund [201441]; Cinvestav Benthos Laboratory Research Fund; Fondo Mixto de Fomento a la Investigacion Cientifica y Tecnologica del Consejo Nacional de Ciencia y Tecnologia - Gobierno del estado de Yucatan (Fondo Mixto-Yucatan); National Health and Medical Research Council (NHMRC) [237057] Funding Source: National Health and Medical Research Council (NHMRC)</t>
  </si>
  <si>
    <t>Consejo Nacional de Ciencia y Tecnologia(Consejo Nacional de Ciencia y Tecnologia (CONACyT)); Consejo Nacional de Ciencia y Tecnologia - Mexican Ministry of Energy -Hydrocarbon Fund; Cinvestav Benthos Laboratory Research Fund(Instituto Politecnico Nacional - Mexico); Fondo Mixto de Fomento a la Investigacion Cientifica y Tecnologica del Consejo Nacional de Ciencia y Tecnologia - Gobierno del estado de Yucatan (Fondo Mixto-Yucatan); National Health and Medical Research Council (NHMRC)(National Health &amp; Medical Research Council (NHMRC) of Australia)</t>
  </si>
  <si>
    <t>This study was funded by the Consejo Nacional de Ciencia y Tecnologia through project no. 237057 Distribucion, reproduccion, biomasa y patrones de movimiento del pulpo comun Octopus vulgaris Cuvier, 1797 en la costa de Yucatan (granted to Ivan Velazquez-Abunader) as well as by the Consejo Nacional de Ciencia y Tecnologia - Mexican Ministry of Energy - Hydrocarbon Fund, Project 201441. The first author thanks the Consejo Nacional de Ciencia y Tecnologia for scholarship no. 589996 and project no. 247043, funded through the Fondo Mixto de Fomento a la Investigacion Cientifica y Tecnologica del Consejo Nacional de Ciencia y Tecnologia - Gobierno del estado de Yucatan (Fondo Mixto-Yucatan) and the Cinvestav Benthos Laboratory Research Fund.</t>
  </si>
  <si>
    <t>10.1111/fog.12555</t>
  </si>
  <si>
    <t>JUL 2021</t>
  </si>
  <si>
    <t>WOS:000670298300001</t>
  </si>
  <si>
    <t>Somaweera, R; Somaweera, R</t>
  </si>
  <si>
    <t>Somaweera, Ruchira; Somaweera, Rehan</t>
  </si>
  <si>
    <t>Nuclear-follower foraging behaviour between Western Australian common octopus and brown-spotted wrasse</t>
  </si>
  <si>
    <t>MARINE AND FRESHWATER RESEARCH</t>
  </si>
  <si>
    <t>commensalism; octopi; opportunistic foraging; reef fish; reef trophodynamics</t>
  </si>
  <si>
    <t>REEF FISHES; ASSOCIATIONS; GULF</t>
  </si>
  <si>
    <t>A common feeding association among reef fishes involves nuclear and follower species, where the former disturbs the bottom, during which the latter opportunistically feeds on items exposed. Here, we report such interactions between Western Australian common octopuses (Octopus (cf) tetricus) and brown-spotted wrasse (Notolabrus parilus) observed on eight occasions while snorkeling at four temperate-water reefs along the coast of Perth in Western Australia. We compare the interactions observed to other octopus-fish nuclear-follower associations known. In general, these interactions usually benefit the follower species and could play a significant role on reef trophodynamics.</t>
  </si>
  <si>
    <t>[Somaweera, Ruchira] Stantec Australia, 226 Adelaide Tce, Perth, WA 6000, Australia; [Somaweera, Ruchira] Univ Western Australia, Sch Biol Sci, 35 Stirling Hwy, Crawley, WA 6009, Australia; [Somaweera, Rehan] Woodlands Primary Sch, 7 Bentwood Ave, Woodlands, WA 6018, Australia</t>
  </si>
  <si>
    <t>University of Western Australia</t>
  </si>
  <si>
    <t>Somaweera, R (corresponding author), Stantec Australia, 226 Adelaide Tce, Perth, WA 6000, Australia.;Somaweera, R (corresponding author), Univ Western Australia, Sch Biol Sci, 35 Stirling Hwy, Crawley, WA 6009, Australia.</t>
  </si>
  <si>
    <t>ruchira.somaweera@stantec.com</t>
  </si>
  <si>
    <t>10.1071/MF21059</t>
  </si>
  <si>
    <t>Fisheries; Limnology; Marine &amp; Freshwater Biology; Oceanography</t>
  </si>
  <si>
    <t>Fisheries; Marine &amp; Freshwater Biology; Oceanography</t>
  </si>
  <si>
    <t>WOS:000670313800001</t>
  </si>
  <si>
    <t>Bublitz, A; Dehnhardt, G; Hanke, FD</t>
  </si>
  <si>
    <t>Bublitz, Alexander; Dehnhardt, Guido; Hanke, Frederike D.</t>
  </si>
  <si>
    <t>Reversal of a Spatial Discrimination Task in the Common Octopus (Octopus vulgaris)</t>
  </si>
  <si>
    <t>FRONTIERS IN BEHAVIORAL NEUROSCIENCE</t>
  </si>
  <si>
    <t>spatial learning; cognitive abilities; behavioral plasticity; cognition; cognitive flexibility</t>
  </si>
  <si>
    <t>DETOUR EXPERIMENTS; PERFORMANCE; CEPHALOPODS; PIGEONS; LOBES</t>
  </si>
  <si>
    <t>Reversal learning requires an animal to learn to discriminate between two stimuli but reverse its responses to these stimuli every time it has reached a learning criterion. Thus, different from pure discrimination experiments, reversal learning experiments require the animal to respond to stimuli flexibly, and the reversal learning performance can be taken as an illustration of the animal's cognitive abilities. We herein describe a reversal learning experiment involving a simple spatial discrimination task, choosing the right or left side, with octopus. When trained with positive reinforcement alone, most octopuses did not even learn the original task. The learning behavior changed drastically when incorrect choices were indicated by a visual signal: the octopuses learned the task within a few sessions and completed several reversals thereby decreasing the number of errors needed to complete a reversal successively. A group of octopus trained with the incorrect-choice signal directly acquired the task quickly and reduced their performances over reversals. Our results indicate that octopuses are able to perform successfully in a reversal experiment based on a spatial discrimination showing progressive improvement, however, without reaching the ultimate performance. Thus, depending on the experimental context, octopus can show behavioral flexibility in a reversal learning task, which goes beyond mere discrimination learning.</t>
  </si>
  <si>
    <t>[Bublitz, Alexander; Dehnhardt, Guido] Univ Rostock, Inst Biosci, Sensory &amp; Cognit Ecol, Rostock, Germany; [Hanke, Frederike D.] Univ Rostock, Inst Biosci, Neuroethol, Rostock, Germany</t>
  </si>
  <si>
    <t>University of Rostock; University of Rostock</t>
  </si>
  <si>
    <t>Hanke, FD (corresponding author), Univ Rostock, Inst Biosci, Neuroethol, Rostock, Germany.</t>
  </si>
  <si>
    <t>frederike.hanke@uni-rostock.de</t>
  </si>
  <si>
    <t>VolkswagenStiftung</t>
  </si>
  <si>
    <t>VolkswagenStiftung(Volkswagen)</t>
  </si>
  <si>
    <t>LThis study was supported by a grant of the VolkswagenStiftung to FDH.</t>
  </si>
  <si>
    <t>JUN 25</t>
  </si>
  <si>
    <t>10.3389/fnbeh.2021.614523</t>
  </si>
  <si>
    <t>Behavioral Sciences; Neurosciences</t>
  </si>
  <si>
    <t>Behavioral Sciences; Neurosciences &amp; Neurology</t>
  </si>
  <si>
    <t>WOS:000671081800001</t>
  </si>
  <si>
    <t>Fadhlaoui-Zid, K; Cossu, P; Sanna, D; Scarpa, F; Lai, TZA; Castelli, A; Casu, M; Maltagliati, F</t>
  </si>
  <si>
    <t>Fadhlaoui-Zid, Karima; Cossu, Piero; Sanna, Daria; Scarpa, Fabio; Lai, Tiziana; Castelli, Alberto; Casu, Marco; Maltagliati, Ferruccio</t>
  </si>
  <si>
    <t>Spatial genetic patterns of Octopus vulgaris Mediterranean populations support the hypothesis of a transitional zone across the Siculo-Tunisian Strait</t>
  </si>
  <si>
    <t>HYDROBIOLOGIA</t>
  </si>
  <si>
    <t>Biogeographical boundary; Sicilian channel; COI mtDNA marker; Fisheries</t>
  </si>
  <si>
    <t>URCHIN PARACENTROTUS-LIVIDUS; CONNECTIVITY PATTERNS; MITOCHONDRIAL-DNA; STATISTICAL POWER; SEA; CEPHALOPODA; PHYLOGEOGRAPHY; MOLLUSCA; NUCLEAR; FLOW</t>
  </si>
  <si>
    <t>Recent research hypothesised that the Siculo-Tunisian Strait might fit, at least for some species, the picture of a genetic transitional zone instead of a sharp genetic break between the Western and Eastern Mediterranean basins. The present study aimed at using the common Octopus, Octopus vulgaris as an empirical test-case to evaluate this hypothesis. To accomplish this goal, 458 new sequences of the mitochondrial gene cytochrome c oxidase subunit I were used. Combining the new sequences with those available on public databases, we assembled a dataset containing 920 sequences to investigate the spatial genetic patterns across 34 Mediterranean populations of O. vulgaris. The genetic structure of this species was assessed combining analysis of molecular variance and Median-Joining networks. Results supported the hypothesis of a complex spatial genetic pattern across the Sicilian channel. Contemporary factors, such as marine currents, likely affect the species' genetic structuring across this area. Overall, our results highlighted that focusing the attention on the whole transitional area rather than on a unique genetic break might help to detect similar patterns across different species. Finally, acknowledging the occurrence of complex spatial genetic patterns across transitional zones may improve stock identification and management practices for commercially valuable species.</t>
  </si>
  <si>
    <t>[Fadhlaoui-Zid, Karima] Taibah Univ, Dept Biol, Coll Sci, Al Madinah Al Monawarah, Saudi Arabia; [Fadhlaoui-Zid, Karima] Univ Jendouba, Higher Inst Biotechnol Beja, Beja, Tunisia; [Cossu, Piero; Scarpa, Fabio; Lai, Tiziana; Casu, Marco] Univ Sassari, Dept Vet Med, Via Vienna 2, I-07100 Sassari, Italy; [Sanna, Daria] Univ Sassari, Dept Biomed Sci, I-07100 Sassari, Italy; [Castelli, Alberto; Maltagliati, Ferruccio] Univ Pisa, Dept Biol, I-56126 Pisa, Italy</t>
  </si>
  <si>
    <t>Taibah University; Universite de Jendouba; University of Sassari; University of Sassari; University of Pisa</t>
  </si>
  <si>
    <t>Cossu, P (corresponding author), Univ Sassari, Dept Vet Med, Via Vienna 2, I-07100 Sassari, Italy.</t>
  </si>
  <si>
    <t>picossu@uniss.it</t>
  </si>
  <si>
    <t>Universita degli Studi di Sassari within the CRUI-CARE Agreement</t>
  </si>
  <si>
    <t>Open access funding provided by Universita degli Studi di Sassari within the CRUI-CARE Agreement.</t>
  </si>
  <si>
    <t>10.1007/s10750-021-04634-6</t>
  </si>
  <si>
    <t>JUN 2021</t>
  </si>
  <si>
    <t>WOS:000665720500001</t>
  </si>
  <si>
    <t>Song, CP; Sun, LL; Zheng, LB; Chi, CF</t>
  </si>
  <si>
    <t>Song, Chang-Pu; Sun, Lian-lian; Zheng, Li-bing; Chi, Chang-feng</t>
  </si>
  <si>
    <t>Gonadotropin-releasing hormone-like gene in the cephalopod, Sepia pharaonis: characterization, expression analysis, and localization in the brain</t>
  </si>
  <si>
    <t>INVERTEBRATE REPRODUCTION &amp; DEVELOPMENT</t>
  </si>
  <si>
    <t>Gonadotropin-releasing hormone; Sepia pharaonis; cephalopods; reproduction</t>
  </si>
  <si>
    <t>GNRH-LIKE PEPTIDE; OCTOPUS-VULGARIS; MOLECULAR-CLONING; REPRODUCTIVE-SYSTEM; CELLULAR-LOCALIZATION; ENDOCRINE; FMRFAMIDE; RECEPTOR; MOLLUSK; FEMALE</t>
  </si>
  <si>
    <t>Gonadotropin-releasing hormone (GnRH), a decapeptide secreted by hypothalamic neurons, is a key signalling molecule of the hypothalamic-pituitary-gonadal axis for the control of reproduction in vertebrates. In this study, a full-length cDNA of GnRH-like gene from the cuttlefish Sepia pharaonis (denoted as SpGnRH, GenBank Accession NO. QPB69198.1) was cloned, which is 432 bp and the open reading frame (ORF) encodes a protein of 90 aa. Multi-sequence alignment revealed high homology of SpGnRH with GnRH from other cephalopod species: 99%, 91%, 86% and 71% similarity with Sepia lycidas, Sepiella japonica, Uroteuthis edulis and Octopus vulgaris, respectively. Phylogenetic analysis supported the finding that SpGnRH was a new member of the GnRH protein family, which was clustered into a group with octopus, squid, and other cuttlefish species. Tissue distribution analysis revealed that SpGnRH mRNA was highly expressed in the brain at three developmental stages (stage III, stage IV, and stage V). In situ hybridization showed that SpGnRH was localized throughout several different functional brain lobes, suggesting SpGnRH might be involved in physiological regulations such as reproduction and feeding. This study might provide a useful theoretical basis for studying reproductive regulation, genetic resource conservation, and artificial breeding.</t>
  </si>
  <si>
    <t>[Song, Chang-Pu; Sun, Lian-lian; Zheng, Li-bing; Chi, Chang-feng] Zhejiang Ocean Univ, Sch Marine Sci &amp; Technol, Natl Engn Res Ctr Marine Facil Aquaculture, Natl &amp; Prov Joint Lab Explorat &amp; Utilizat Marine, 1st Haidanan Rd, Lincheng 316022, Zhoushan, Peoples R China</t>
  </si>
  <si>
    <t>Zhejiang Ocean University; Chinese Academy of Sciences</t>
  </si>
  <si>
    <t>Chi, CF (corresponding author), Zhejiang Ocean Univ, Sch Marine Sci &amp; Technol, Natl Engn Res Ctr Marine Facil Aquaculture, Natl &amp; Prov Joint Lab Explorat &amp; Utilizat Marine, 1st Haidanan Rd, Lincheng 316022, Zhoushan, Peoples R China.</t>
  </si>
  <si>
    <t>chichangfeng@hotmail.com</t>
  </si>
  <si>
    <t>10.1080/07924259.2021.1935335</t>
  </si>
  <si>
    <t>Reproductive Biology; Zoology</t>
  </si>
  <si>
    <t>WOS:000662082000001</t>
  </si>
  <si>
    <t>Roa-Ureta, RH; Fernández-Rueda, MD; Acuña, JL; Rivera, A; González-Gil, R; García-Flórez, L</t>
  </si>
  <si>
    <t>Roa-Ureta, Ruben H.; del Pino Fernandez-Rueda, M.; Luis Acuna, Jose; Rivera, Antonella; Gonzalez-Gil, Ricardo; Garcia-Florez, Lucia</t>
  </si>
  <si>
    <t>Estimation of the spawning stock and recruitment relationship of Octopus vulgaris in Asturias (Bay of Biscay) with generalized depletion models: implications for the applicability of MSY</t>
  </si>
  <si>
    <t>ICES JOURNAL OF MARINE SCIENCE</t>
  </si>
  <si>
    <t>Asturias; cephalopod fisheries; hierarchical models; small-scale fisheries; stock-recruitment</t>
  </si>
  <si>
    <t>REPRODUCTIVE-CYCLE; DISCARD MORTALITY; LOLIGO-GAHI; FISHERIES; ISLANDS; MANAGEMENT; DOFLEINI; DYNAMICS; BYCATCH; EXAMPLE</t>
  </si>
  <si>
    <t>We developed a new type of generalized depletion model adapted to the rapid life cycle of Octopus vulgaris and the data collection framework put in place in its co-managed small-scale fishery (SSF) in Asturias, northwest Spain. The model uses weekly data from 19 seasons to estimate annual recruitment and female spawners emigration out of the vulnerable stock to attend to their broods. The matched annual spawners-recruitment (SR) magnitudes are then used as observations in a non-Bayesian hierarchical inference framework. The Shepherd SR model was selected among three alternatives. The stock has a high degree of density-dependence, leading to overcompensation. The estimated SR model has an unstable equilibrium point, driving the stock to deterministic cyclic fluctuations under small disturbances. Under those conditions the maximum sustainable yield (MSY) is not applicable, lending further credence to Sidney Holt's opposition to the MSY as a basis for the elaboration of fishery management objectives, with potentially wide relevance to the management of SSF and cephalopod fisheries. We argue that harvest rates based on mean latent productivity, a concept that includes the MSY as a special case, are more adequate and sustainable for fluctuating stocks.</t>
  </si>
  <si>
    <t>[del Pino Fernandez-Rueda, M.; Garcia-Florez, Lucia] Consejeria Medio Rural &amp; Cohes Terr, Principado Asturias, Gijon 33212, Spain; [Luis Acuna, Jose] Univ Oviedo, Dept Biol Organismos &amp; Sistemas, Oviedo 33005, Spain; [Rivera, Antonella] Mesoamer Reg, Coral Reef Alliance, Oakland, CA 94612 USA; [Gonzalez-Gil, Ricardo] Univ Strathclyde, Dept Math &amp; Stat, Glasgow G1 1XQ, Lanark, Scotland</t>
  </si>
  <si>
    <t>University of Oviedo; University of Strathclyde</t>
  </si>
  <si>
    <t>ruben.roa@uach.cl</t>
  </si>
  <si>
    <t>European Maritime and Fisheries Fund; Project Ecosifood [MCI-20-PID2019-108481RB-I00/AEI/10.13039/501100011033]</t>
  </si>
  <si>
    <t>European Maritime and Fisheries Fund; Project Ecosifood</t>
  </si>
  <si>
    <t>We appreciate the comments and suggestions to improve the manuscript fromthree anonymous reviewers and editor A. Arkhipkin. These reviews helped greatly to write a more balanced article. We are also grateful to fishers of the Asturias province for contributing with reliable data of their operations for nearly 20 years as willing contributors to sustainable exploitation. Funding was provided by the European Maritime and Fisheries Fund to the government of Spain (Garcia-Florez, Fernandez-Rueda and Roa-Ureta) and Project Ecosifood MCI-20-PID2019-108481RB-I00/AEI/10.13039/501100011033 (Acuna, Rivera, Gonzalez-Gil and Roa-Ureta).</t>
  </si>
  <si>
    <t>10.1093/icesjms/fsab113</t>
  </si>
  <si>
    <t>WOS:000705457300029</t>
  </si>
  <si>
    <t>Bennice, CO; Brooks, WR; Hanlon, RT</t>
  </si>
  <si>
    <t>Bennice, Chelsea O.; Brooks, W. Randy; Hanlon, Roger T.</t>
  </si>
  <si>
    <t>Behavioral dynamics provide insight into resource exploitation and habitat coexistence of two octopus species in a shallow Florida lagoon</t>
  </si>
  <si>
    <t>Resource partitioning; Behavioral ecology; Activity periods; Diet; Cephalopods; Saltatory search</t>
  </si>
  <si>
    <t>ACTIVITY PATTERNS; VULGARIS MOLLUSCA; CEPHALOPODA; PREY; INSULARIS; ECOLOGY; CRABS; DIET; SPECIALIZATION; AVAILABILITY</t>
  </si>
  <si>
    <t>Multiple octopus species inhabit overlapping ecohabitats worldwide yet little is known about the behavioral mechanisms that facilitate such coexistence. To distinguish coexistence mechanisms of Octopus vulgaris and Macrotritopus defilippi in high densities, rigorous fieldwork was conducted to examine their respective foraging strategies. Direct observations via SCUBA diving combined with active and remote video demonstrated that O. vulgaris was primarily nocturnal, foraged on hard bottom substrate, and consumed mostly bivalves while M. defilippi was strictly diurnal, foraged on soft bottom substrate, and consumed exclusively crustaceans. Both species showed a saltatory (stop and go) foraging tactic dominated by speculative bottom searching, which is guided by visual scanning and decision making, followed by tactile endeavors of the arms and chemotactile suckers. Species-specific behaviors were parachute attack (O. vulgaris), mimicry of flounder swimming (M. defilippi), and tripod stance (M. defilippi). Coexistence between these two species results primarily from differences in resource use (habitat and diet) and temporal and spatial heterogeneity. Incorporating species-specific behavioral habits is a key tool for understanding octopus ecology and coexistence.</t>
  </si>
  <si>
    <t>[Bennice, Chelsea O.; Brooks, W. Randy] Florida Atlantic Univ, Boca Raton, FL 33431 USA; [Hanlon, Roger T.] Marine Biol Lab, Woods Hole, MA 02543 USA</t>
  </si>
  <si>
    <t>Bennice, CO (corresponding author), Florida Atlantic Univ, Boca Raton, FL 33431 USA.</t>
  </si>
  <si>
    <t>Broward Shell Club; Palm Beach Fishing Club; Animal Behavior Society; Sholley Foundation</t>
  </si>
  <si>
    <t>Broward Shell Club; Palm Beach Fishing Club; Animal Behavior Society; Sholley Foundation(ACEV Foundation)</t>
  </si>
  <si>
    <t>We thank Florida Atlantic University's scientific divers for accompanying COB on research dives throughout this study; specifically, Liana Houston, Jessica Pate, Rachel Shanker, Danielle Bartz, Jeanette Wyneken, and Marianne Porter. Thank you to FAU's diving and boating safety program for providing SCUBA tanks and compressed air. Laz Ruda discovered M. defillippi at BHB and invited RTH to dive this site, which led to this research. We are grateful for funding from the Broward Shell Club, Palm Beach Fishing Club, and the Animal Behavior Society. RTH thanks the Sholley Foundation for partial funding for this project. Special thanks to Carole Marshall from the Broward Shell Club for helping with mollusc identification. Underwater photographs and octopus observations were also acquired from SCUBA divers: Kevin Bryant, Brenda Hill, Carlos and Allison Estape, Sandra Edwards, David Sanchez, Anne DuPont and Linda Ianniello. We are grateful to Conor Sullivan for the development of the octopus 24-h camera, and Nathan Dorn and Colin Hughes for their advice on this project.</t>
  </si>
  <si>
    <t>10.1016/j.jembe.2021.151592</t>
  </si>
  <si>
    <t>WOS:000687854700005</t>
  </si>
  <si>
    <t>Villanueva, R; Coll-Lladó, M; Bonnaud-Ponticelli, L; Carrasco, SA; Escolar, O; Fernández-Alvarez, FA; Gleadall, IG; Nabhitabhata, J; Ortiz, N; Rosas, C; Sánchez, P; Voight, JR; Swoger, J</t>
  </si>
  <si>
    <t>Villanueva, Roger; Coll-Llado, Montserrat; Bonnaud-Ponticelli, Laure; Carrasco, Sergio A.; Escolar, Oscar; Fernandez-Alvarez, Fernando A.; Gleadall, Ian G.; Nabhitabhata, Jaruwat; Ortiz, Nicolas; Rosas, Carlos; Sanchez, Pilar; Voight, Janet R.; Swoger, Jim</t>
  </si>
  <si>
    <t>Born With Bristles: New Insights on the Kolliker's Organs of Octopus Skin</t>
  </si>
  <si>
    <t>molluscs; cephalopod; larvae; juvenile; epidermis; buoyancy</t>
  </si>
  <si>
    <t>EMBRYONIC-DEVELOPMENT; CEPHALOPODA OCTOPODIDAE; VULGARIS CUVIER; 1ST DESCRIPTION; MOLLUSCA; ULTRASTRUCTURE; PARALARVAE; EGGS; LARVAL; SQUID</t>
  </si>
  <si>
    <t>The entire skin surface of octopus embryos, hatchlings and juveniles bears scattered tufts of tiny chitinous setae within small pockets, from which they can be everted and retracted. Known as Kolliker's organs (KO), they disappear before the subadult stage. The function of these structures during the early life of the octopus is unknown, despite having been first described nearly two centuries ago. To investigate these organs further, general trends in size of KO distribution and density were analyzed in hatchlings and juveniles of 17 octopod species from all oceans, representing holobenthic, holopelagic and meropelagic modes of life. The size of the KO is fairly constant across species, unrelated to mode of life or hatchling size. The density of KO is similar on ventral and dorsal body surfaces, but hatchlings of smaller size tend to have a higher density of KO on the aboral surface of the arms. Analysis of a series of post-hatching Octopus vulgaris shows KO size to be constant throughout ontogeny; it is therefore a consistent structure during the octopus early life from planktonic hatchling to benthic juvenile. New KO are generated on the skin of the arm tips during the planktonic period and initial benthic lives of juveniles. Their density, on both the mantle and arms, gradually decreases as the octopus grows. In older benthic juveniles, the KO degrades, losing its setae and the base of its follicle becomes exposed as a nearly circular stump of muscle. It is estimated that fully everted KO increase the body surface area by around two-thirds compared to when the KO are retracted. This modular mechanism of body surface extension and roughness probably influences flow-related forces such as drag and propulsion of the moving surface of the young octopus while it is of small size with a relatively large surface area. In addition, the distribution of these organs on the aboral surface of the arms of the octopus and their birefringent properties suggest a role in camouflage. Further research is needed to test these hypotheses of KO function in live animals.</t>
  </si>
  <si>
    <t>[Villanueva, Roger; Escolar, Oscar; Fernandez-Alvarez, Fernando A.; Sanchez, Pilar] ICM CSIC, Inst Ciencies Mar, Barcelona, Spain; [Coll-Llado, Montserrat; Swoger, Jim] European Mol Biol Lab, Barcelona, Spain; [Bonnaud-Ponticelli, Laure] Lab BOREA UMR MNHN, CNRS 8067, SU, IRD207, Paris, France; [Carrasco, Sergio A.] Univ Catolica Norte, Fac Ciencias Mar, Dept Biolog Marina, Millennium Nucleus Ecol &amp; Sustainable Management, Coquimbo, Chile; [Fernandez-Alvarez, Fernando A.] Natl Univ Ireland, Ryan Inst, Galway, Ireland; [Fernandez-Alvarez, Fernando A.] Natl Univ Ireland, Sch Nat Sci, Galway, Ireland; [Gleadall, Ian G.] Tohoku Univ, Grad Sch Agr Sci, Sendai, Miyagi, Japan; [Gleadall, Ian G.] Okinawa Inst Sci &amp; Technol, Onna, Okinawa, Japan; [Nabhitabhata, Jaruwat] Prince Songkla Univ, Fac Sci, Excellence Ctr Biodivers Peninsular Thailand CBIP, Hat Yai, Thailand; [Ortiz, Nicolas] CCT CONICET CENPAT, Inst Biolog Organismos Marinos IBIOMAR, Lab Cephalopods, Puerto Madryn, Argentina; [Rosas, Carlos] Univ Nacl Autonoma Mexico, Fac Ciencias, Unidad Multidisciplinaria Docencia &amp; Invest, Merida, Mexico; [Voight, Janet R.] Field Museum Nat Hist, Negaunee Integrat Res Ctr, Chicago, IL 60605 USA</t>
  </si>
  <si>
    <t>CSIC - Centro Mediterraneo de Investigaciones Marinas y Ambientales (CMIMA); Consejo Superior de Investigaciones Cientificas (CSIC); CSIC - Instituto de Ciencias del Mar (ICM); European Molecular Biology Laboratory (EMBL); Institut de Recherche pour le Developpement (IRD); Centre National de la Recherche Scientifique (CNRS); Museum National d'Histoire Naturelle (MNHN); Sorbonne Universite; Universidad Catolica del Norte; Ollscoil na Gaillimhe-University of Galway; Ollscoil na Gaillimhe-University of Galway; Tohoku University; Okinawa Institute of Science &amp; Technology Graduate University; Prince of Songkla University; Centro Nacional Patagonico (CENPAT); Universidad Nacional Autonoma de Mexico; Field Museum of Natural History (Chicago)</t>
  </si>
  <si>
    <t>Villanueva, R (corresponding author), ICM CSIC, Inst Ciencies Mar, Barcelona, Spain.</t>
  </si>
  <si>
    <t>roger@icm.csic.es</t>
  </si>
  <si>
    <t>Irish Research Council-Government of Ireland Postdoctoral Fellowship Award [GOIPD/2019/460]; Japan Science and Technology Agency [J130000263, J170000574, AS2715164U, AS0138002]; FONDECYT [11170617]; National Agency for Scientific and Technological Research of Argentina [PICT 201 0670]; Spanish Ministry of Science, Innovation and Universities (OCTOSET project, MCIU/AEI/FEDER, EU) [RTI2018097908-B-I00]; Spanish Ministry of Education [PRX19/00153]; Spanish government through the Severo Ochoa Center of Excellence accreditation [CEX2019-000928-S]</t>
  </si>
  <si>
    <t>Irish Research Council-Government of Ireland Postdoctoral Fellowship Award(Irish Research Council for Science, Engineering and Technology); Japan Science and Technology Agency(Japan Science &amp; Technology Agency (JST)); FONDECYT(Comision Nacional de Investigacion Cientifica y Tecnologica (CONICYT)CONICYT FONDECYT); National Agency for Scientific and Technological Research of Argentina; Spanish Ministry of Science, Innovation and Universities (OCTOSET project, MCIU/AEI/FEDER, EU)(Spanish Government); Spanish Ministry of Education(Spanish Government); Spanish government through the Severo Ochoa Center of Excellence accreditation</t>
  </si>
  <si>
    <t>FF-A was supported by an Irish Research Council-Government of Ireland Postdoctoral Fellowship Award (Ref. GOIPD/2019/460). Material contributed by IGG was collected partly through the support of funding from the Japan Science and Technology Agency (grant nos. J130000263, J170000574, AS2715164U and AS0138002); and partly through travel support from the Okinawa Institute of Science and Technology (OIST). SC acknowledges the funding of a FONDECYT research grant (#11170617). Part of material contributed by NO was obtained under the project PICT 201 0670 from the National Agency for Scientific and Technological Research of Argentina. Project funding and support to RV was provided by the Spanish Ministry of Science, Innovation and Universities (OCTOSET project, RTI2018097908-B-I00, MCIU/AEI/FEDER, EU), the Spanish Ministry of Education (grant PRX19/00153) and the Spanish government through the Severo Ochoa Center of Excellence accreditation (CEX2019-000928-S).</t>
  </si>
  <si>
    <t>MAY 10</t>
  </si>
  <si>
    <t>10.3389/fmars.2021.645738</t>
  </si>
  <si>
    <t>WOS:000651364500005</t>
  </si>
  <si>
    <t>Prado-Alvarez, M; García-Fernández, P; Faury, N; Azevedo, C; Morga, B; Gestal, C</t>
  </si>
  <si>
    <t>Prado-Alvarez, Maria; Garcia-Fernandez, Pablo; Faury, Nicole; Azevedo, Carlos; Morga, Benjamin; Gestal, Camino</t>
  </si>
  <si>
    <t>First detection of OsHV-1 in the cephalopod Octopus vulgaris. Is the octopus a dead-end for OsHV-1?</t>
  </si>
  <si>
    <t>Octopus vulgaris; Crassostrea gigas; OsHV-1; Gene expression; In situ hybridization</t>
  </si>
  <si>
    <t>OYSTER CRASSOSTREA-GIGAS; HERPES-LIKE VIRUS; OSTREID HERPESVIRUS-1 OSHV-1; PACIFIC OYSTER; ANTIVIRAL RESPONSE; TOMALES BAY; VIRAL-DNA; MORTALITY; PCR; TRANSMISSION</t>
  </si>
  <si>
    <t>The ostreid herpes virus (OsHV-1), associated with massive mortalities in the bivalve Crassostrea gigas, was detected for the first time in the cephalopod Octopus vulgaris. Wild adult animals from a natural breeding area in Spain showed an overall prevalence of detection of 87.5% between 2010 and 2015 suggesting an environmental source of viral material uptake. Overall positive PCR detections were significantly higher in adult animals (p = 0.031) compared to newly hatched paralarvae (62%). Prevalence in embryos reached 65%. Sequencing of positive amplicons revealed a match with the variant OsHV-1 mu Var showing the genomic features that distinguish this variant in the ORF4. Gill tissues from adult animals were also processed for in situ hybridization and revealed positive labelling. Experimental exposure trials in octopus paralarvae were carried out by cohabitation with virus injected oysters and by immersion in viral suspension observing a significant decrease in paralarval survival in both experiments. An increase in the number of OsHV-1 positive animals was detected in dead paralarvae after cohabitation with virus injected oysters. No signs of viral replication were observed based on lack of viral gene expression or visualization of viral structures by transmission electron microscopy. The octopus response against OsHV-1 was evaluated by gene expression of previously reported transcripts involved in immune response in C. gigas suggesting that immune defences in octopus are also activated after exposure to OsHV-1.</t>
  </si>
  <si>
    <t>[Prado-Alvarez, Maria; Garcia-Fernandez, Pablo; Gestal, Camino] Spanish Natl Res Council, Marine Res Inst, Marine Mol Pathobiol Grp, Eduardo Cabello 6, Vigo 36208, Spain; [Faury, Nicole; Morga, Benjamin] IFREMER, Lab Genet &amp; Pathol Mollusques Marins, Ave Mus Loup, F-17390 La Tremblade, France; [Azevedo, Carlos] Univ Porto, Interdisciplinary Ctr Marine &amp; Environm Res, Rua Bragas 289, P-4050123 Porto, Portugal; [Azevedo, Carlos] Univ Porto, Inst Biomed Sci Abel Salazar, Rua Jorge Viterbo Ferreira 228, P-4050313 Porto, Portugal</t>
  </si>
  <si>
    <t>Consejo Superior de Investigaciones Cientificas (CSIC); Ifremer; Universidade do Porto; Universidade do Porto</t>
  </si>
  <si>
    <t>Prado-Alvarez, M; Gestal, C (corresponding author), Spanish Natl Res Council, Marine Res Inst, Marine Mol Pathobiol Grp, Eduardo Cabello 6, Vigo 36208, Spain.</t>
  </si>
  <si>
    <t>mprado@iim.csic.es; cgestal@iim.csic.es</t>
  </si>
  <si>
    <t>Marie Sklodowska Curie Actions-H2020 European Framework Programme [H2020-MSCA-IF-2014-659072-RESISGAL]; Spanish Programme for Scientific and Technical Research and Innovation [AGL2017-89475-C2-1]</t>
  </si>
  <si>
    <t>Marie Sklodowska Curie Actions-H2020 European Framework Programme; Spanish Programme for Scientific and Technical Research and Innovation</t>
  </si>
  <si>
    <t>This work was supported by Marie Sklodowska Curie ActionsH2020 European Framework Programme (H2020-MSCA-IF-2014-659072-RESISGAL) and Spanish Programme for Scientific and Technical Research and Innovation (AGL2017-89475-C2-1 - OCTOMICS) .</t>
  </si>
  <si>
    <t>10.1016/j.jip.2021.107553</t>
  </si>
  <si>
    <t>MAY 2021</t>
  </si>
  <si>
    <t>WOS:000661387300004</t>
  </si>
  <si>
    <t>Santana-Cisneros, ML; Rodríguez-Canul, R; Zamora-Briseño, JA; Améndola-Pimenta, M; De Silva-Dávila, R; Ordóñez-López, U; Velázquez-Abunader, I; Ardisson, PL</t>
  </si>
  <si>
    <t>Santana-Cisneros, Mariana L.; Rodriguez-Canul, Rossanna; Alejandro Zamora-Briseno, Jesus; Amendola-Pimenta, Monica; De Silva-Davila, Roxana; Ordonez-Lopez, Uriel; Velazquez-Abunader, Ivan; Ardisson, Pedro-Luis</t>
  </si>
  <si>
    <t>Morphological and molecular identification of Octopoda (Mollusca: Cephalopoda) paralarvae from the southern Gulf of Mexico</t>
  </si>
  <si>
    <t>BULLETIN OF MARINE SCIENCE</t>
  </si>
  <si>
    <t>VULGARIS CUVIER; INSULARIS LEITE; 1ST RECORD; CALIFORNIA; ATLANTIC; SQUID; REEF; DIVERGENCE; PHYLOGENY; HAIMOVICI</t>
  </si>
  <si>
    <t>Paralarvae (PL) are crucial to understanding the life cycle and population dynamics of cephalopods. Misidentification of species with similar morphology is a problem that hampers understanding of cephalopod composition and distribution. In this study, we used morphological and molecular approaches to carry out a comprehensive identification of Octopoda PL that inhabit two main areas (Tamaulipas and Yucatan) in the southern Gulf of Mexico (GoM). A total of 189 PL were identified using morphological criteria. Of these, 52 PL were analyzed molecularly by sequencing the mitochondrial cytochrome c oxidase subunit I (COI) gene. We identified four species and five morphotypes. The molecular tools corroborated three out of four species, while the molecular sequences of three out of four morphotypes indicated that they belong to three different species. All the genetic sequences had high similarities (99.3%-100%) with previous records. One species and one morphotype could not be sequenced because of unsatisfactory fixation; one morphotype remained as such after the molecular analysis. An identification tree was constructed for the species identified with the molecular approach. The species found off the Yucatan platform were Octopus vulgaris Type I, Octopus americanus, Macrotritopus defilippi, Amphioctopus burryi, A. cf. burryi, Octopus sp., and Callistoctopus furvus. The species identified off the Tamaulipas coast were Octopus insularis and M. defilippi. Paralarvae of O. vulgaris Type I and M. defilippi were the most abundant during 2016-2017. This study provides the first record of Octopoda PL in the southern GoM, including morphological descriptions and molecular sequences of the analyzed taxa.</t>
  </si>
  <si>
    <t>[Santana-Cisneros, Mariana L.; Rodriguez-Canul, Rossanna; Alejandro Zamora-Briseno, Jesus; Amendola-Pimenta, Monica; Ordonez-Lopez, Uriel; Velazquez-Abunader, Ivan; Ardisson, Pedro-Luis] CINVESTAV, Dept Recursos Mar, Carretera Antigua Progreso,Km 6, Merida 97310, Yucatan, Mexico; [De Silva-Davila, Roxana] Inst Politecn Nacl, Ctr Interdisciplinario Ciencias Marinas, Av IPN S-N Col Playa Palo Sta, La Paz 23094, Baja California, Mexico</t>
  </si>
  <si>
    <t>Instituto Politecnico Nacional - Mexico; CINVESTAV - Centro de Investigacion y de Estudios Avanzados del Instituto Politecnico Nacional; Instituto Politecnico Nacional - Mexico</t>
  </si>
  <si>
    <t>Ardisson, PL (corresponding author), CINVESTAV, Dept Recursos Mar, Carretera Antigua Progreso,Km 6, Merida 97310, Yucatan, Mexico.</t>
  </si>
  <si>
    <t>pedro.ardisson@cinvestav.mx</t>
  </si>
  <si>
    <t>Consejo Nacional de Ciencia y Tecnologia [237057, 589996]; Consejo Nacional de Ciencia y Tecnologia -Mexican Ministry of Energy - Hydrocarbon Fund [201441]; Consejo Nacional de Ciencia y Tecnologia through Fondo Mixto de Fomento a la Investigacion Cientifica y Tecnologica del Consejo Nacional de Ciencia y Tecnologia-Gobierno del estado de Yucatan (Fondo Mixto-Yucatan) [247043]; Cinvestav Benthos Laboratory Reasearch Fund; [SIP 20180809]; National Health and Medical Research Council (NHMRC) [237057] Funding Source: National Health and Medical Research Council (NHMRC)</t>
  </si>
  <si>
    <t>Consejo Nacional de Ciencia y Tecnologia(Consejo Nacional de Ciencia y Tecnologia (CONACyT)); Consejo Nacional de Ciencia y Tecnologia -Mexican Ministry of Energy - Hydrocarbon Fund; Consejo Nacional de Ciencia y Tecnologia through Fondo Mixto de Fomento a la Investigacion Cientifica y Tecnologica del Consejo Nacional de Ciencia y Tecnologia-Gobierno del estado de Yucatan (Fondo Mixto-Yucatan); Cinvestav Benthos Laboratory Reasearch Fund(Instituto Politecnico Nacional - Mexico); ; National Health and Medical Research Council (NHMRC)(National Health &amp; Medical Research Council (NHMRC) of Australia)</t>
  </si>
  <si>
    <t>The authors thank the Federacion Regional de Sociedades Cooperativas de la Industria Pesquera del Centro Poniente del Estado de Yucatan, Sociedad Cooperativa de Responsabilidad Limitada for its help with fieldwork. A permit for collection (PPF/DGOPA-015/16) was issued by the Comision Nacional de Acuacultura y Pesca. This study was funded by the Consejo Nacional de Ciencia y Tecnologia through Project No. 237057 Distribucion, reproduccion, biomasa y patrones de movimiento del pulpo comun Octopus vulgaris Cuvier, 1797 en la costa de Yucatan (granted to I Velazquez-Abunader) as well as by the Consejo Nacional de Ciencia y Tecnologia -Mexican Ministry of Energy -Hydrocarbon Fund, Project 201441. This study is a contribution of the Gulf of Mexico Research Consortium. We acknowledge Petroleos Mexicanos's specific request to the Hydrocarbon Fund to address the environmental effects of oil spills in the Gulf of Mexico. The first author thanks the Consejo Nacional de Ciencia y Tecnologia for scholarship 589996, and Project 247043 funded through the Fondo Mixto de Fomento a la Investigacion Cientifica y Tecnologica del Consejo Nacional de Ciencia y Tecnologia-Gobierno del estado de Yucatan (Fondo Mixto-Yucatan), and the Cinvestav Benthos Laboratory Reasearch Fund. ML Santana-Cisneros performed a research stay at Instituto Politecnico Nacional (CICIMAR-IPN), supported by the research project SIP 20180809 Cambios en las asociaciones de paralarvas de cefalopodos en el Golfo de California asociados a la variacion ambiental. R De Silva-Davila is a fellow of the Comisio ' n de Operacio ' n y Fomento de Actividades Acade ' micas (COFAA-IPN) and Programa de Esti ' mulos al Desempen~o de los Investigadores (EDI-IPN) at IPN.</t>
  </si>
  <si>
    <t>10.5343/bms.2020.0027</t>
  </si>
  <si>
    <t>WOS:000645897000002</t>
  </si>
  <si>
    <t>Luo, QH; Wang, WJ; Li, Z; Zhu, XH; Wang, X; Zhang, TH; Xu, H; Yang, JN</t>
  </si>
  <si>
    <t>Luo Qihao; Wang Weijun; Li Zan; Zhu Xinghua; Wang Xue; Zhang Tonghua; Xu He; Yang Jiamnin</t>
  </si>
  <si>
    <t>Effects of Diet on the Volatile Flavor and Nutritional Ingredients of Common Octopus (Octopus vulgaris)</t>
  </si>
  <si>
    <t>JOURNAL OF OCEAN UNIVERSITY OF CHINA</t>
  </si>
  <si>
    <t>Octopus vulgaris; volatile flavor substances; fatty acids; amino acids; diet effect</t>
  </si>
  <si>
    <t>Cephalopods are important economic shellfish that have been developed extensively in the coastal water of various countries. Octopus vulgaris is a large-scaled economic cephalopod that is mainly cultured in South China. This study explored the effect of different diets on the volatile flavor and nutritional ingredients of O. vulgaris. Four diets were tested in four groups: Group A (fish (Scomberomorus niphonius)), Group B (crab (Helice tridens tientsinensis Rathbun)), Group C (clam (Mactra veneriformis)), and Group D (squid (Loligo japonica)). Octopus muscles were sampled after 36 days of feeding, and volatile flavor substances (VFSs), fatty acids (FAs), and amino acids (AAs) were detected. Results showed that the VFSs, FAs, and AAs of octopus in the four groups were obviously different. The sum of volatile ketones and aldehydes was higher in Group B than in the other groups, which could present much more flavors. All groups were abundant in unsaturated FAs, including eicosapentaenoic acid (EPA) and docosahexaenoic acid (DHA). In terms of content and variety, the FAs in Group B were more beneficial to human health than those in the other groups. The content of each AA in Group B was basically higher than those in the other groups and was significantly higher than that in Group D (P &lt; 0.05). Comparing the VFSs, FAs, and AAs in samples fed with four kinds of diets, the results indicate that using crab to feed O. vulgaris can achieve better effects on volatile flavor and nutritional ingredients.</t>
  </si>
  <si>
    <t>[Luo Qihao; Wang Weijun; Li Zan; Zhu Xinghua; Wang Xue; Yang Jiamnin] Ludong Univ, Sch Agr, Yantai 264025, Peoples R China; [Luo Qihao; Zhu Xinghua; Wang Xue] Shanghai Ocean Univ, Natl Demonstrat Ctr Expt Fisheries Sci Educ, Shanghai 201306, Peoples R China; [Wang Weijun; Zhang Tonghua; Yang Jiamnin] Shandong Huachun Fisheries Co Ltd, Dongying 257000, Peoples R China; [Wang Weijun; Xu He] Jiangsu Baoyuan Biotechnol Co Ltd, Lianyungang 222100, Peoples R China</t>
  </si>
  <si>
    <t>Ludong University; Shanghai Ocean University</t>
  </si>
  <si>
    <t>Wang, WJ; Yang, JN (corresponding author), Ludong Univ, Sch Agr, Yantai 264025, Peoples R China.;Wang, WJ; Yang, JN (corresponding author), Shandong Huachun Fisheries Co Ltd, Dongying 257000, Peoples R China.;Wang, WJ (corresponding author), Jiangsu Baoyuan Biotechnol Co Ltd, Lianyungang 222100, Peoples R China.</t>
  </si>
  <si>
    <t>wwj2530616@163.com; ladderup@126.com</t>
  </si>
  <si>
    <t>earmarked fund for the Modern Agro-Industry Technology Research System [CARS-49]; Natural Science Foundation of Shandong Province [ZR2018BC052]; Entrepreneurship and Innovation Talents programme of Jiangsu Province of China (2020-2023); Huaguo Mountain Talent Programme of Lianyungang City Jiangsu Province (2019-2022)</t>
  </si>
  <si>
    <t>earmarked fund for the Modern Agro-Industry Technology Research System; Natural Science Foundation of Shandong Province(Natural Science Foundation of Shandong Province); Entrepreneurship and Innovation Talents programme of Jiangsu Province of China (2020-2023); Huaguo Mountain Talent Programme of Lianyungang City Jiangsu Province (2019-2022)</t>
  </si>
  <si>
    <t>This research was supported by the earmarked fund for the Modern Agro-Industry Technology Research System (No. CARS-49), the Natural Science Foundation of Shandong Province (No. ZR2018BC052), the Entrepreneurship and Innovation Talents programme of Jiangsu Province of China (2020-2023), and the Huaguo Mountain Talent Programme of Lianyungang City Jiangsu Province (2019-2022).</t>
  </si>
  <si>
    <t>10.1007/s11802-021-4538-1</t>
  </si>
  <si>
    <t>Oceanography</t>
  </si>
  <si>
    <t>WOS:000626662500015</t>
  </si>
  <si>
    <t>Hernández-Zazueta, MS; Luzardo-Ocampo, I; García-Romo, JS; Noguera-Artiaga, L; Carbonell-Barrachina, AA; Taboada-Antelo, P; Campos-Vega, R; Rosas-Burgos, EC; Burboa-Zazueta, MG; Ezquerra-Brauer, JM; Burgos-Hernández, A</t>
  </si>
  <si>
    <t>Hernandez-Zazueta, Martin S.; Luzardo-Ocampo, Ivan; Garcia-Romo, Joel S.; Noguera-Artiaga, Luis; Carbonell-Barrachina, Angel A.; Taboada-Antelo, Pablo; Campos-Vega, Rocio; Rosas-Burgos, Ema Carina; Burboa-Zazueta, Maria G.; Ezquerra-Brauer, Josafat M.; Burgos-Hernandez, Armando</t>
  </si>
  <si>
    <t>Bioactive compounds from Octopus vulgaris ink extracts exerted anti-proliferative and anti-inflammatory effects in vitro</t>
  </si>
  <si>
    <t>Octopus (Octopus vulgaris); Anti-proliferative effect; Cytokine modulation; Colorrectal cancer; Ink; Metabolomic analysis</t>
  </si>
  <si>
    <t>SEPIA-ESCULENTA INK; SQUID INK; FATTY-ACIDS; NITRIC-OXIDE; CANCER; INFLAMMATION; POLYSACCHARIDE; APOPTOSIS; IDENTIFICATION; PROLIFERATION</t>
  </si>
  <si>
    <t>Underutilized marine food products such as cephalopods' ink could be sources of bioactive compounds providing health benefits. This study aimed to assess the anti-proliferative and anti-inflammatory effects from Octopus vulgaris ink extracts (hexane-, ethyl acetate-, dichloromethane- (DM), and water extracts) using human colorectal (HT-29/HCT116) and breast (MDA-MB-231) cancer cells, and LPS-challenged murine RAW 264.7 cells. Except by ethyl-acetate, all of the extracts exhibited anti-proliferative effects without being cytotoxic to ARPE-19 and RAW 264.7 cells. Among DM fractions (F1/F2/F3), DM-F2 showed the highest anti-proliferative effect (LC50 = 52.64 mu g/mL), inducing pro-apoptotic morphological disruptions in HCT116 cells. On RAW 264.7 cells, DM-F2 displayed the lowest nitrites reduction and up-regulation of key-cytokines from the JAK-STAT, PI3K-Akt, and IL-17 pathways. Compared to control, DM-F2 increased IL-4 and decreased NF-kappa B fluorometric expression in peripheral blood mononuclear cells (PBMCs). Metabolomic analysis of DM-F2 highlighted hexadecanoic acid and 1-(15-methyl-1-oxohexadecyl)-pyrrolidine as the most important metabolites. These compounds also exhibited high in silico binding affinity (4.6 to 5.8 kcal/mol) to IL-1 alpha, IL-1 beta, and IL-2. Results suggested the joint immunomodulatory and anti-proliferative effect derived from selected compounds of underutilized marine food products such as ink. This is the first report of such biological activities in extracts from O. vulgaris ink.</t>
  </si>
  <si>
    <t>[Hernandez-Zazueta, Martin S.; Garcia-Romo, Joel S.; Rosas-Burgos, Ema Carina; Ezquerra-Brauer, Josafat M.; Burgos-Hernandez, Armando] Univ Sonora, Dept Invest &amp; Posgrad Alimentos, Apartado Postal 1658, Hermosillo 83000, Sonora, Mexico; [Luzardo-Ocampo, Ivan; Campos-Vega, Rocio] Univ Autanoma Queretaro, Sch Chem, Res &amp; Grad Program Food Sci, Queretaro 76010, Qro, Mexico; [Luzardo-Ocampo, Ivan] Univ Nacl Autonoma Mexico, Inst Neurobiol, Juriquilla 76230, Qro, Mexico; [Noguera-Artiaga, Luis; Carbonell-Barrachina, Angel A.] Univ Miguel Hernandez Elche, Escuela Politecn Super Orihuela, Alicante 03312, Spain; [Taboada-Antelo, Pablo] Univ Santiago de Compostela, Dept Fis Aplicada, Santiago De Compostela 15782, Spain; [Burboa-Zazueta, Maria G.] Univ Sonora, Dept Med &amp; Ciencias Salud, Hermosillo 83000, Sonora, Mexico</t>
  </si>
  <si>
    <t>Universidad de Sonora; Universidad Nacional Autonoma de Mexico; Universidad Miguel Hernandez de Elche; Universidade de Santiago de Compostela; Universidad de Sonora</t>
  </si>
  <si>
    <t>Burgos-Hernández, A (corresponding author), Univ Sonora, Dept Invest &amp; Posgrad Alimentos, Apartado Postal 1658, Hermosillo 83000, Sonora, Mexico.</t>
  </si>
  <si>
    <t>Consejo Nacional de Ciencia y Tecnologia (CONACyT-Mexico) [241133, 2174]</t>
  </si>
  <si>
    <t>Consejo Nacional de Ciencia y Tecnologia (CONACyT-Mexico)(Consejo Nacional de Ciencia y Tecnologia (CONACyT))</t>
  </si>
  <si>
    <t>Author Martin Samuel Hern ' andez Zazueta acknowledges Consejo Nacional de Ciencia y Tecnologia (CONACyT-Mexico) for Ph.D. scholarship and the granted financial support for the projects 241133 and 2174. The technical support for this research work, provided by Edgar Sandoval-Petris, Juan Manuel Martinez-Soto, and Maria del Carmen Candia-Plata is also well appreciated.</t>
  </si>
  <si>
    <t>10.1016/j.fct.2021.112119</t>
  </si>
  <si>
    <t>MAR 2021</t>
  </si>
  <si>
    <t>WOS:000642485100020</t>
  </si>
  <si>
    <t>Lopes, PFM; Andrade, LCA; Pennino, MG; Leite, TS</t>
  </si>
  <si>
    <t>Lopes, Priscila F. M.; Andrade, Lorena C. A.; Pennino, Maria Grazia; Leite, Tatiana S.</t>
  </si>
  <si>
    <t>The inter-annual fishing variability in Octopus insularis (Leite &amp; Haimovici 2008) as a result of oceanographic factors</t>
  </si>
  <si>
    <t>Brazil; climate change; coastal fisheries; equatorial fisheries; niche expansion; octopus fisheries; small‐ scale fisheries</t>
  </si>
  <si>
    <t>CLIMATE-CHANGE; COMMON OCTOPUS; CEPHALOPODA-OCTOPODIDAE; DATA EXPLORATION; OCEANIC ISLAND; FISHERIES; VULGARIS; MANAGEMENT; ABUNDANCE; ATLANTIC</t>
  </si>
  <si>
    <t>Octopus insularis, despite being widely fished from Brazil to Mexico, has only recently been described as a different species from the sympatric Octopus vulgaris complex in the tropical Atlantic, where its occurrence is determined by different environmental factors. Using a 10-year time series from Brazil, we modeled how topographic aspects and oceanographic variables affected the landings of O. insularis. For that we used a locally weighted scatterplot smoothing (LOESS) technique and residual autocovariate-boosted regression trees (RAC-BRTs). In addition to the octopus landing per unit effort (LPUE) being driven by the seafloor structure, we also observed that it was directly related to the temperature and inversely related to chlorophyll. Higher LPUEs were observed in warmer years. Although the relationship between LPUE and chlorophyll or temperature has not yet been explained under laboratorial conditions, the higher catches observed at higher temperatures may be both a result of the local fishing dynamics and a warning toward the possibility of future niche expansion, due to climate change. If the latter is confirmed, octopus fisheries in parts of the South Atlantic would need to adapt to a smaller, and thus cheaper, body-sized species.</t>
  </si>
  <si>
    <t>[Lopes, Priscila F. M.; Andrade, Lorena C. A.] Univ Fed Rio Grande do Norte, Dept Ecol, Fisheries Ecol Management &amp; Econ Unit FEME, Natal, RN, Brazil; [Andrade, Lorena C. A.; Pennino, Maria Grazia] Univ Fed Rio Grande do Norte, Grad Program Ecol, Natal, RN, Brazil; [Pennino, Maria Grazia] Inst Espanol Oceanog, Vigo, Spain; [Leite, Tatiana S.] Univ Fed Santa Catarina, Dept Ecol &amp; Zool, Florianopolis, SC, Brazil; [Andrade, Lorena C. A.] Univ Fed Rondonia, Dept Biol, Porto Velho, RO, Brazil</t>
  </si>
  <si>
    <t>Universidade Federal do Rio Grande do Norte; Universidade Federal do Rio Grande do Norte; Spanish Institute of Oceanography; Universidade Federal de Santa Catarina (UFSC); Universidade Federal de Rondonia</t>
  </si>
  <si>
    <t>Lopes, PFM (corresponding author), Univ Fed Rio Grande do Norte, Dept Ecol, Fisheries Ecol Management &amp; Econ Unit FEME, Natal, RN, Brazil.</t>
  </si>
  <si>
    <t>priscila@cb.ufrn.br</t>
  </si>
  <si>
    <t>Conselho Nacional de Desenvolvimento Cientifico e Tecnologico [301515/2019-0]; MCT/CNPq/SEAP [559863/2008-0]; Coordenacao de Aperfeicoamento de Pessoal de Nivel Superior [001]</t>
  </si>
  <si>
    <t>Conselho Nacional de Desenvolvimento Cientifico e Tecnologico(Conselho Nacional de Desenvolvimento Cientifico e Tecnologico (CNPQ)); MCT/CNPq/SEAP; Coordenacao de Aperfeicoamento de Pessoal de Nivel Superior(Coordenacao de Aperfeicoamento de Pessoal de Nivel Superior (CAPES))</t>
  </si>
  <si>
    <t>Conselho Nacional de Desenvolvimento Cientifico e Tecnologico, Grant/Award Number: 301515/2019-0; MCT/CNPq/SEAP, Grant/Award Number: 559863/2008-0; Coordenacao de Aperfeicoamento de Pessoal de Nivel Superior, Grant/Award Number: 001</t>
  </si>
  <si>
    <t>10.1111/fog.12534</t>
  </si>
  <si>
    <t>WOS:000629250700001</t>
  </si>
  <si>
    <t>Amodio, P; Josef, N; Shashar, N; Fiorito, G</t>
  </si>
  <si>
    <t>Amodio, Piero; Josef, Noam; Shashar, Nadav; Fiorito, Graziano</t>
  </si>
  <si>
    <t>Bipedal locomotion in Octopus vulgaris: A complementary observation and some preliminary considerations</t>
  </si>
  <si>
    <t>behavioral flexibility; bipedal; cephalopods; locomotion; Octopus; walking</t>
  </si>
  <si>
    <t>Lacking an external shell and a rigid endoskeleton, octopuses exhibit a remarkable flexibility in their movements. Bipedal locomotion is perhaps the most iconic example in this regard. Until recently, this peculiar mode of locomotion had been observed only in two species of tropical octopuses: Amphioctopus marginatus and Abdopus aculeatus. Yet, recent evidence indicates that bipedal walking is also part of the behavioral repertoire of the common octopus, Octopus vulgaris. Here we report a further observation of a defense behavior that encompasses both postural and locomotory elements of bipedal locomotion in this cephalopod. By highlighting differences and similarities with the other recently published report, we provide preliminary considerations with regard to bipedal locomotion in the common octopus.</t>
  </si>
  <si>
    <t>[Amodio, Piero; Fiorito, Graziano] Stn Zool Anton Dohrn, Dept Biol &amp; Evolut Marine Organisms, I-80121 Naples, Italy; [Josef, Noam; Shashar, Nadav] Ben Gurion Univ Negev, Dept Life Sci, Elat, Israel</t>
  </si>
  <si>
    <t>Stazione Zoologica Anton Dohrn; Ben-Gurion University of the Negev</t>
  </si>
  <si>
    <t>Amodio, P (corresponding author), Stn Zool Anton Dohrn, Dept Biol &amp; Evolut Marine Organisms, I-80121 Naples, Italy.</t>
  </si>
  <si>
    <t>Leverhulme Trust [SAS--2020--004\10]; RITMARE-MIUR Flagship Project [1068-SZN-5]</t>
  </si>
  <si>
    <t>Leverhulme Trust(Leverhulme Trust); RITMARE-MIUR Flagship Project</t>
  </si>
  <si>
    <t>Leverhulme Trust, Grant/Award Number: SAS--2020--004\10; RITMARE-MIUR Flagship Project; ASSEMBLE-SZN, Grant/Award Number: 1068-SZN-5</t>
  </si>
  <si>
    <t>10.1002/ece3.7328</t>
  </si>
  <si>
    <t>WOS:000625389900001</t>
  </si>
  <si>
    <t>Katz, I; Shomrat, T; Nesher, N</t>
  </si>
  <si>
    <t>Katz, Itamar; Shomrat, Tal; Nesher, Nir</t>
  </si>
  <si>
    <t>Feel the light: sight-independent negative phototactic response in octopus arms</t>
  </si>
  <si>
    <t>Octopus vulgaris; Cephalopod; Phototactic; Extraocular photoreception</t>
  </si>
  <si>
    <t>CEPHALOPOD CHROMATOPHORES; NERVOUS CONTROL; EYE; DEPRIVATION; GENES; LOBE; SKIN</t>
  </si>
  <si>
    <t>Controlling the octopus's flexible hyper-redundant body is a challenging task. It is assumed that the octopus has poor proprioception which has driven the development of unique mechanisms for efficient body control. Here we report on such a mechanism: a phototactic response of extraocular photoreception. Extraocular photoreception has been observed in many and diverse species. Previous research on cephalopods revealed that increased illumination on their skin evokes chromatophore expansion. Recently, the mechanism was investigated and has been termed 'light-activated chromatophore expansion' (LACE). In this work we show that in response to illumination, the armtip reacts in a reflex-likemanner, folding in and moving away from the light beam. We performed a set of behavioral experiments and surgical manipulations to elucidate and characterize this phototactic response. We found that in contrast to the local activation and control of LACE, the phototactic response is mediated by the brain, although it is expressed in a reflex-like pattern. Our research results and observations led us to propose that the phototaxis is a means for protecting the arms in an instinctive manner from potential daytime predators such as fish and crabs, that could identify the worm-like tips as food. Indeed, observations of the octopuses revealed that their arm tips are folded in during the daytime, whereas at night they are extended. Thus, the phototactic response might compensate for the octopus's poor proprioception by keeping their arms folded in illuminated areas, without the need to be aware of their state.</t>
  </si>
  <si>
    <t>[Katz, Itamar; Shomrat, Tal; Nesher, Nir] Ruppin Acad Ctr, Fac Marine Sci, IL-40297 Michmoret, Israel</t>
  </si>
  <si>
    <t>Ruppin Academic Center</t>
  </si>
  <si>
    <t>Shomrat, T (corresponding author), Ruppin Acad Ctr, Fac Marine Sci, IL-40297 Michmoret, Israel.</t>
  </si>
  <si>
    <t>talsh@ruppin.ac.il</t>
  </si>
  <si>
    <t>Israel Science Foundation (ISF) [1767/17]</t>
  </si>
  <si>
    <t>Israel Science Foundation (ISF)(Israel Science Foundation)</t>
  </si>
  <si>
    <t>This work was supported by the Israel Science Foundation (ISF) No. 1767/17.</t>
  </si>
  <si>
    <t>jeb237529</t>
  </si>
  <si>
    <t>10.1242/jeb.237529</t>
  </si>
  <si>
    <t>WOS:000629246600018</t>
  </si>
  <si>
    <t>Dominguez-Lopez, M; Follana-Berná, G; Arechavala-Lopez, P</t>
  </si>
  <si>
    <t>Dominguez-Lopez, Marta; Follana-Berna, Guillermo; Arechavala-Lopez, Pablo</t>
  </si>
  <si>
    <t>Behaviour and body patterns of Octopus vulgaris facing a baited trap: first-capture assessment</t>
  </si>
  <si>
    <t>SCIENTIA MARINA</t>
  </si>
  <si>
    <t>common octopus; skin displays; ethology; personality; vulnerability; fisheries management</t>
  </si>
  <si>
    <t>FISH; FISHERIES; MOLLUSCA; CUVIER; CEPHALOPODA; ECOLOGY; TRAITS</t>
  </si>
  <si>
    <t>This study highlights for the first time individual differences in ethology and vulnerability of Octopus vulgaris (i.e. body postures, movements and skin displays) facing passive baited traps. Common octopus exposed to a baited trap during three consecutive first-capture tests exhibited diverse behavioural and body pattern sequences resembling when the octopus searches for and hunts its wild prey. Overall, they first visually recognized new objects or potential preys and rapidly moved out of the den, exploring, grabbing and approaching the trap with the arms (chemotactile exploration), and capturing the bait with the arms and feeding on top over long periods inside the trap. Simultaneously, O. vulgaris displayed diverse skin textural and chromatic signs, the regular pattern being the most frequent and long-lasting, followed by broad mottle, passing cloud and dark patterns. All individuals (n=8) caught the bait at least once, although only five octopuses (62.5%) entered the trap in all three tests. In addition, high variability among individuals was observed regarding behaviour and body patterns during the first-capture tests, which might evidence different individual temperaments or life-history traits. Differences in behavioural responses at individual level might have population consequences due to fisheries-induced selection, although there is a high necessity to assess how behavioural traits might play an important role in life-history traits of this species harvested by small-scale trap fisheries.</t>
  </si>
  <si>
    <t>[Dominguez-Lopez, Marta; Follana-Berna, Guillermo; Arechavala-Lopez, Pablo] Mediterranean Inst Adv Studies IMEDEA CSIC UIB, Fish Ecol Grp, C Miguel Marques 21, Esporles 07190, Spain; [Arechavala-Lopez, Pablo] Univ Algarve, Ctr Ciencias Mar CCMAR, Fish Ethol &amp; Welf Grp, Campus Gambelas,Edificio 7, P-8005139 Faro, Portugal</t>
  </si>
  <si>
    <t>Consejo Superior de Investigaciones Cientificas (CSIC); ATTITUS Educacao; Universidade do Algarve</t>
  </si>
  <si>
    <t>Arechavala-Lopez, P (corresponding author), Mediterranean Inst Adv Studies IMEDEA CSIC UIB, Fish Ecol Grp, C Miguel Marques 21, Esporles 07190, Spain.;Arechavala-Lopez, P (corresponding author), Univ Algarve, Ctr Ciencias Mar CCMAR, Fish Ethol &amp; Welf Grp, Campus Gambelas,Edificio 7, P-8005139 Faro, Portugal.</t>
  </si>
  <si>
    <t>martadl49@hotmail.com; g.follana@gmail.com; pablo@fishethogroup.net</t>
  </si>
  <si>
    <t>Spanish PhD fellowship (FPI-INIA) from the National Institute for Agricultural and Food Research and Technology (INIA); Spanish Ministry of Economy, Industry and Competitiveness [IJCI2015-25595]</t>
  </si>
  <si>
    <t>Spanish PhD fellowship (FPI-INIA) from the National Institute for Agricultural and Food Research and Technology (INIA); Spanish Ministry of Economy, Industry and Competitiveness(Spanish Government)</t>
  </si>
  <si>
    <t>This work is a contribution of the Joint Associated Unit IMEDEA-LIMIA. G.F-B. was supported by a Spanish PhD fellowship (FPI-INIA) from the National Institute for Agricultural and Food Research and Technology (INIA). P.A.L. was supported by a post-doctoral grant (Juan de la Cierva-Incorporacion; IJCI2015-25595) from the Spanish Ministry of Economy, Industry and Competitiveness. We would like to thank LIMIA staff members for helping with daily experimental maintenance and animal care.</t>
  </si>
  <si>
    <t>10.3989/scimar.05065.003</t>
  </si>
  <si>
    <t>WOS:000655312200003</t>
  </si>
  <si>
    <t>Pita, C; Roumbedakis, K; Fonseca, T; Matos, FL; Pereira, J; Villasante, S; Pita, P; Bellido, JM; Gonzalez, AF; García-Tasende, M; Lefkaditou, E; Adamidou, A; Cuccu, D; Belcari, P; Moreno, A; Pierce, GJ</t>
  </si>
  <si>
    <t>Pita, Cristina; Roumbedakis, Katina; Fonseca, Teresa; Matos, Fabio L.; Pereira, Joao; Villasante, Sebastian; Pita, Pablo; Maria Bellido, Jose; Gonzalez, Angel F.; Garcia-Tasende, Manuel; Lefkaditou, Evgenia; Adamidou, Aggeliki; Cuccu, Danila; Belcari, Paola; Moreno, Ana; Pierce, Graham J.</t>
  </si>
  <si>
    <t>Fisheries for common octopus in Europe: socioeconomic importance and management</t>
  </si>
  <si>
    <t>Governance; Management; Octopus vulgaris; Small-scale fisheries; Artisanal fisheries</t>
  </si>
  <si>
    <t>MARINE RECREATIONAL FISHERIES; HABITAT SELECTION; TRAP FISHERY; VULGARIS; CEPHALOPOD; KNOWLEDGE; COMANAGEMENT; DYNAMICS; ALGARVE; SYSTEM</t>
  </si>
  <si>
    <t>The European Union (EU) is one of the most important markets for cephalopods in the world. Currently, smallscale fisheries targeting the common octopus in the EU are of considerable social and economic importance, especially in southern European waters where more octopus are consumed as part of the traditional diet. Octopuses in Europe are excluded from quota regulations under the Common Fisheries Policy and EU Member States manage their fisheries employing different input and output control measures, especially in small-scale fisheries targeting the common octopus. The level of participation of the fishing industry in the management of their activity varies amongst Member States and some management arrangements in place are tailored at the local level. This manuscript focuses on four European countries with important small-scale artisanal common octopus fisheries (Portugal, Spain, Italy and Greece). It describes and compares the current status of small-scale common octopus fisheries in each country, their socioeconomic importance, the management arrangements in place, and the opportunities and challenges for their future. Despite the increasing importance of octopus fisheries in southern Europe, few countries have collected detailed data on the socioeconomic importance and management of these fisheries. The information provided contributes to increase the knowledge about the human dimensions of octopus fisheries in Europe.</t>
  </si>
  <si>
    <t>[Pita, Cristina] Int Inst Environm &amp; Dev IIED, London, England; [Pita, Cristina; Roumbedakis, Katina; Fonseca, Teresa; Matos, Fabio L.] Univ Aveiro, Dept Environm &amp; Planning, CESAM Ctr Environm &amp; Marine Studies, Aveiro, Portugal; [Pereira, Joao] DGRM Direcao Serv Recursos Nat, Div Recursos Internos, Lisbon, Portugal; [Villasante, Sebastian; Pita, Pablo] Univ Santiago de Compostela, Fac Econ &amp; Business Sci, Dept Appl Econ, Santiago De Compostela, Spain; [Maria Bellido, Jose] Inst Espanol Oceanog IEO, Ctr Oceanog Murcia, Murcia, Spain; [Gonzalez, Angel F.; Pierce, Graham J.] Inst Invest Marinas CSIC, Vigo, Spain; [Garcia-Tasende, Manuel] Ctr Invest Marinas CIMA Coron Conselleria Mar, Vilanova De Arousa, Spain; [Lefkaditou, Evgenia] Inst Marine Biol Resources &amp; Inland Waters, Hellen Ctr Marine Res HCMR, Anavyssos, Greece; [Adamidou, Aggeliki] Fisheries Res Inst, Hellen Agr Org DEMETER, Kavala, Greece; [Cuccu, Danila] Univ Cagliari, Dipartimento Sci Vita &amp; Ambiente, Cagliari, Italy; [Belcari, Paola] Univ Pisa, Dipartimento Biol, Pisa, Italy; [Moreno, Ana] Inst Portugues Mar &amp; Atmosfera IPMA, Alges, Portugal</t>
  </si>
  <si>
    <t>Universidade de Aveiro; Universidade de Santiago de Compostela; Spanish Institute of Oceanography; Consejo Superior de Investigaciones Cientificas (CSIC); CSIC - Instituto de Investigaciones Marinas (IIM); Hellenic Centre for Marine Research; University of Cagliari; University of Pisa; Instituto Portugues do Mar e da Atmosfera</t>
  </si>
  <si>
    <t>Pita, C (corresponding author), Int Inst Environm &amp; Dev IIED, London, England.</t>
  </si>
  <si>
    <t>cristina.pita@iied.org</t>
  </si>
  <si>
    <t>INTERREG project CephsandChefs [EAPA 282/2016]</t>
  </si>
  <si>
    <t>INTERREG project CephsandChefs</t>
  </si>
  <si>
    <t>This research did not receive any specific grant from funding agencies in the public, commercial, or not-for-profit sectors. The print of figures in colour were financed by the INTERREG project CephsandChefs (EAPA 282/2016).</t>
  </si>
  <si>
    <t>10.1016/j.fishres.2020.105820</t>
  </si>
  <si>
    <t>WOS:000605480500002</t>
  </si>
  <si>
    <t>Dan, S; Shibasaki, S; Takasugi, A; Takeshima, S; Yamazaki, H; Ito, A; Hamasaki, K</t>
  </si>
  <si>
    <t>Dan, Shigeki; Shibasaki, Shodai; Takasugi, Arata; Takeshima, Satoshi; Yamazaki, Hideki; Ito, Atsushi; Hamasaki, Katsuyuki</t>
  </si>
  <si>
    <t>Changes in behavioural patterns from swimming to clinging, shelter utilization and prey preference of East Asian common octopus Octopus sinensis during the settlement process under laboratory conditions</t>
  </si>
  <si>
    <t>Octopus sinensis; Paralarva; Juvenile; Settlement; Feeding habit; Migration</t>
  </si>
  <si>
    <t>CEPHALOPODA OCTOPODIDAE; VULGARIS PARALARVAE; CRAB ZOEAE; GROWTH; ARTEMIA; LIFE; SURVIVAL; CUVIER; MORTALITY; HISTORY</t>
  </si>
  <si>
    <t>Settlement is the process whereby benthic octopuses with a planktonic paralarval phase make a behavioural change from being active swimmers to assume adult life on the seabed. This process is poorly understood, mainly because octopus juveniles are highly cryptic in the natural habitat and they lack any distinct morphological changes (i.e. metamorphosis) in concert with settlement. To investigate behaviour during the settlement process, ontogenetic changes in swimming, clinging and shelter-utilizing behaviours were examined during both day- and night-time using laboratory-raised East Asian common octopus, Octopus sinensis, aged from 10 to 28 days after hatching (ranging from 1.7 to 16.4 mg mean dry weight, DW). The accompanying change in feeding habit from planktivorous to benthivorous was assessed by comparing rates of consumption of planktonic zoea (of the swimming crab Portunus trituberculatus) and benthic juveniles of the Manila clam, Ruditapes philippinarum. During the daytime, octopus behaviour changed rapidly from swimming to clinging onto the surface of the wall and bottom of the test tank during growth from 3 to 9 mg DW. At night, the frequency of clinging behaviour increased along with growth but the behavioural change progressed more slowly, indicating a tendency to continue swimming during darkness. Shelter utilization during the day commenced mainly after reaching 8 mg DW, after which shelter use gradually increased with growth. In contrast, shelter utilization at night was rarely observed throughout the experiment. Regarding octopus prey preference, consumption of clam juveniles increased with growth while zoeae consumption remained constant. The increase in clam consumption, however, was gradual, indicating that the shift of feeding habit from planktivorous to benthivorous is by no means an abrupt transition. These results indicate that O. sinensis requires a considerable period of time to complete the transition to benthic life. The alternating behaviours of diurnal clinging and nocturnal swimming in the water column may facilitate safe migration of the octopuses from the location to which they have been passively advected towards a more suitable benthic habitat while minimizing their exposure to visual predators. Since shelter utilization and feeding on bivalves are likely to require the use of a certain degree of force and complex coordination of the arms and suckers, the extended, gradual increase in shelter utilization frequency and clam consumption may be attributable to the degree of arm and sucker development.</t>
  </si>
  <si>
    <t>[Dan, Shigeki; Shibasaki, Shodai; Takasugi, Arata; Hamasaki, Katsuyuki] Tokyo Univ Marine Sci &amp; Technol, Dept Marine Biosci, Minato Ku, Tokyo 1088477, Japan; [Takeshima, Satoshi; Yamazaki, Hideki; Ito, Atsushi] Japan Fisheries Res &amp; Educ Agcy, Natl Res Inst Fisheries &amp; Environm Inland Sea, Res Ctr Marine Invertebrates, Onomichi, Hiroshima 7220061, Japan; [Takasugi, Arata] Tokyo Metropolitan Isl Area Res &amp; Dev Ctr Agr For, Hachijo Branch, Hachijo, Tokyo 1001511, Japan</t>
  </si>
  <si>
    <t>Dan, S (corresponding author), Tokyo Univ Marine Sci &amp; Technol, Dept Marine Biosci, Minato Ku, Tokyo 1088477, Japan.</t>
  </si>
  <si>
    <t>Project of the NARO Bio-oriented Technology Research Advancement Institution (Research program on development of innovative technology) [30005A]</t>
  </si>
  <si>
    <t>Project of the NARO Bio-oriented Technology Research Advancement Institution (Research program on development of innovative technology)</t>
  </si>
  <si>
    <t>We thank the staff of the Research Center for Marine Invertebrates, National Research Institute of Fisheries and Environment of Inland Sea, Japan Fisheries Research and Education Agency (FRA), for supporting our laboratory work. We thank Ian G. Gleadall (AiCeph LLC, Sendai) for assistance in preparing the manuscript and valuable advice. We are also grateful to the editor and the reviewer for valuable comments and suggestions, which have improved the manuscript. This research was supported by grants (Grant Number, 30005A) from the Project of the NARO Bio-oriented Technology Research Advancement Institution (Research program on development of innovative technology).</t>
  </si>
  <si>
    <t>10.1016/j.jembe.2021.151537</t>
  </si>
  <si>
    <t>FEB 2021</t>
  </si>
  <si>
    <t>WOS:000645098600001</t>
  </si>
  <si>
    <t>Henriksen, MD; Ofri, R; Shomrat, T; Nesher, N; Cleymaet, A; Ross, M; Pe'er, O; Arad, D; Katzenbach, J; Dubielzig, RR</t>
  </si>
  <si>
    <t>Henriksen, Michala de Linde; Ofri, Ron; Shomrat, Tal; Nesher, Nir; Cleymaet, Allison; Ross, Maya; Pe'er, Oren; Arad, Dikla; Katzenbach, Julia; Dubielzig, Richard R.</t>
  </si>
  <si>
    <t>Ocular anatomy and correlation with histopathologic findings in two common octopuses (Octopus vulgaris) and one giant Pacific octopus (Enteroctopus dofleini) diagnosed with inflammatory phakitis and retinitis</t>
  </si>
  <si>
    <t>VETERINARY OPHTHALMOLOGY</t>
  </si>
  <si>
    <t>Cephalopoda; common octopus; giant pacific octopus; ophthalmology; phakitis; retinitis</t>
  </si>
  <si>
    <t>Purpose Review octopus ocular anatomy and describe the histopathologic findings in three octopuses diagnosed with phakitis and retinitis. Animals Two common octopuses (Octopus vulgaris) and one giant Pacific octopus (Enteroctopus dofleini) with a history of ophthalmic disease. Methods A literature search was performed for the ocular anatomy section. Both eyes from all three octopuses, and two control eyes, were submitted for histopathologic evaluation. Hematoxylin and eosin stain was used for standard histopathologic evaluation; GMS stain was used to screen for fungi, gram stain for bacteria; and Fite's acid fast stain for acid fast bacteria. Results Anatomically, the anterior chamber of the octopus has direct contact with ambient water due to an opening in the dorsal aspect of a pseudocornea. The octopus lens is divided into anterior and posterior segments. The anterior half is exposed to the environment through the opening into the anterior chamber. Neither part of the lens has a lens capsule. The retina is everted, unlike the inverted vertebrate retina, and consists of just two layers. Histopathology revealed inflammatory phakitis and retinitis of varying severity in all six eyes of the study animals. No intraocular infectious organisms were recognized but one common octopus eye had clusters of coccidian parasites, identified as Aggregata sp., in extraocular tissues and blood vessels. Conclusion We describe inflammatory phakitis and retinitis in two species of octopuses. The underlying cause for the severe intraocular response may be direct intraocular infection, water quality, an ocular manifestation of a systemic disease, or natural senescence.</t>
  </si>
  <si>
    <t>[Henriksen, Michala de Linde; Cleymaet, Allison] Colorado State Univ, Coll Vet Med &amp; Biomed Sci, Dept Clin Sci, Comparat Ophthalmol, Ft Collins, CO 80523 USA; [Ofri, Ron; Ross, Maya; Pe'er, Oren; Arad, Dikla] Hebrew Univ Jerusalem, Koret Sch Vet Med, Rehovot, Israel; [Shomrat, Tal; Nesher, Nir] Ruppin Acad Ctr, Fac Marine Sci, Mikhmoret, Israel; [Katzenbach, Julia] Downtown Aquarium, Denver, CO USA; [Dubielzig, Richard R.] Univ Wisconsin, Sch Vet Med, Dept Pathobiol Sci, Madison, WI 53706 USA</t>
  </si>
  <si>
    <t>Colorado State University System; Colorado State University Fort Collins; Hebrew University of Jerusalem; Ruppin Academic Center; University of Wisconsin System; University of Wisconsin Madison</t>
  </si>
  <si>
    <t>Henriksen, MD (corresponding author), Colorado State Univ, Coll Vet Med &amp; Biomed Sci, Dept Clin Sci, Comparat Ophthalmol, Ft Collins, CO 80523 USA.</t>
  </si>
  <si>
    <t>Israel's Ministry of Aliyah and Integration [1001247728]</t>
  </si>
  <si>
    <t>Israel's Ministry of Aliyah and Integration</t>
  </si>
  <si>
    <t>Dikla Arad was supported by a grant from the Israel's Ministry of Aliyah and Integration (1001247728). The authors would like to acknowledge Rob Brynda from Downtown Aquarium, for his help regarding the giant Pacific octopus and water quality.</t>
  </si>
  <si>
    <t>10.1111/vop.12872</t>
  </si>
  <si>
    <t>WOS:000618820700001</t>
  </si>
  <si>
    <t>Schickele, A; Francour, P; Raybaud, V</t>
  </si>
  <si>
    <t>Schickele, Alexandre; Francour, Patrice; Raybaud, Virginie</t>
  </si>
  <si>
    <t>European cephalopods distribution under climate-change scenarios</t>
  </si>
  <si>
    <t>SPECIES DISTRIBUTION; YOLK UTILIZATION; RANGE; IMPACTS; MODEL; POPULATION; GROWTH; SHIFTS; VULNERABILITY; VARIABILITY</t>
  </si>
  <si>
    <t>In a context of increasing anthropogenic pressure, projecting species potential distributional shifts is of major importance for the sustainable exploitation of marine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 In this study, we focus on three largely harvested and common cephalopod species in Europe: Octopus vulgaris, Sepia officinalis and Loligo vulgaris. Using a recently improved species ensemble modelling framework coupled with five atmosphere-ocean general circulation models, we modelled their contemporary and potential future distributional range over the twenty-first century. Independently of global warming scenarios, we observed a decreasing in the suitability of environmental conditions in the Mediterranean Sea and the Bay of Biscay. Conversely, we projected a rapidly increasing environmental suitability in the North, Norwegian and Baltic Seas for all species. This study is a first broad scale assessment and identification of the geographical areas, fisheries and ecosystems impacted by climate-induced changes in cephalopods distributional range.</t>
  </si>
  <si>
    <t>[Schickele, Alexandre; Francour, Patrice; Raybaud, Virginie] Univ Cote Azur, CNRS, UMR ECOSEAS 7035, Nice, France</t>
  </si>
  <si>
    <t>Centre National de la Recherche Scientifique (CNRS); Universite Cote d'Azur</t>
  </si>
  <si>
    <t>Schickele, A (corresponding author), Univ Cote Azur, CNRS, UMR ECOSEAS 7035, Nice, France.</t>
  </si>
  <si>
    <t>alexandre.schickele@univ-cotedazur.fr</t>
  </si>
  <si>
    <t>Prince Albert II of Monaco foundation through the project CLIM-ECO2; Provence-Alpes-Cote-d'Azur (PACA) Region; Comite Regional des Peches Maritimes et des Elevages Marins (CRPMEM) de PACA</t>
  </si>
  <si>
    <t>Prince Albert II of Monaco foundation through the project CLIM-ECO2; Provence-Alpes-Cote-d'Azur (PACA) Region(Region Provence-Alpes-Cote d'Azur); Comite Regional des Peches Maritimes et des Elevages Marins (CRPMEM) de PACA</t>
  </si>
  <si>
    <t>This work was supported by the Prince Albert II of Monaco foundation through the project CLIM-ECO2. AS's PhD is funded by the Provence-Alpes-Cote-d'Azur (PACA) Region in partnership with the Comite Regional des Peches Maritimes et des Elevages Marins (CRPMEM) de PACA.</t>
  </si>
  <si>
    <t>FEB 16</t>
  </si>
  <si>
    <t>10.1038/s41598-021-83457-w</t>
  </si>
  <si>
    <t>WOS:000626728100024</t>
  </si>
  <si>
    <t>Castro, N; Romao, F; Castro, JJ; Pereira, TJ; Pedro, S; Viegas, V; Costa, JL</t>
  </si>
  <si>
    <t>Castro, Nuno; Romao, Filipe; Castro, Joao J.; Pereira, Tadeu Jose; Pedro, Silvia; Viegas, Vera; Costa, Jose Lino</t>
  </si>
  <si>
    <t>Catches, sales and discards: Small-scale fisheries in a Portuguese Marine park</t>
  </si>
  <si>
    <t>Marine protected areas; MPA; PNSACV; Multi-gears; Portugal; Artisanal</t>
  </si>
  <si>
    <t>PROTECTED AREAS; CONSERVATION; MANAGEMENT; MPA; NO; PRIORITIES; SPILLOVER; MOVEMENTS; RESERVES; COAST</t>
  </si>
  <si>
    <t>The natural park Parque Natural do Sudoeste Alentejano e Costa Vicentina (PNSACV; SW coast of continental Portugal) includes a recently implemented marine protected area of 2 km along its coast, where important, although not quantified, small-scale commercial fisheries are carried out. Conservation measures were implemented since 2011. The present study aimed to estimate the fishing effort, catches, discards and seasonality of the small commercial fleet in the northern part of PNSACV. A total of 32 fishing vessels were selected and their activity was monitored between 2011 and 2013. Fortnight interviews were made to the captains of those vessels (n= 435) together with on board observations (n= 89). The data obtained allowed to estimate a total of 100 commercial fishing vessels operating in the study area. Longlines, bottom-traps and gill/trammel nets were the most frequent fishing gears used. Over the studied period, fishing effort was more intense in the warmer season, from April to September. It was estimated that the annual fish and shellfish catches in the study area reached about 564 t, including 465 t of sales and 99 t of discards. Main species caught were Octopus vulgaris (65%), Conger conger (12%), Argyrosomus regius (2%) and Diplodus sargus (1%). Main species discarded were O. vulgaris (45%) and C. conger (39%), mainly due to its small size. The present pioneer work will serve as a benchmark for future studies concerning the evolution of the PNSACV and phenomena reflecting the implementation of the MPAs. Further studies should be conducted to implement legislation adjustments to improve fisheries management in PNSACV. (c) 2021 Elsevier B.V. All rights reserved.</t>
  </si>
  <si>
    <t>[Castro, Nuno] Quinta Lorde Marina, MARE Marine &amp; Environm Sci Ctr, Madeira Isl, Portugal; [Castro, Nuno; Costa, Jose Lino] Univ Lisbon, MARE Marine &amp; Environm Sci Ctr, Fac Ciencias, Lisbon, Portugal; [Romao, Filipe] Univ Lisbon, CERIS Civil Engn Res &amp; Innovat Sustainabil, Inst Super Tecn, Lisbon, Portugal; [Castro, Joao J.; Pereira, Tadeu Jose; Pedro, Silvia; Viegas, Vera] Univ Evora, MARE Marine &amp; Environm Sci Ctr, Evora, Portugal; [Castro, Joao J.] Univ Evora, Dept Biol, Escola Ciencias &amp; Tecnol, Evora, Portugal; [Costa, Jose Lino] Univ Lisbon, Dept Biol Anim, Fac Ciencias, Lisbon, Portugal</t>
  </si>
  <si>
    <t>Universidade de Lisboa; Universidade de Lisboa; University of Evora; University of Evora; Universidade de Lisboa</t>
  </si>
  <si>
    <t>Castro, N (corresponding author), Quinta Lorde Marina, MARE Marine &amp; Environm Sci Ctr, Madeira Isl, Portugal.</t>
  </si>
  <si>
    <t>Nuno.castro@mare-centre.pt</t>
  </si>
  <si>
    <t>University of Evora, Portugal through the project 'Estudos cientificos para protecao marinha na costa alentejana -PROTECT'; European Fisheries Fund 2007-2013 (EFF) through the Portuguese Fisheries Operational Program (PROMAR) 2007-2013 [31-03-05-FEP-12]; FEDER, Portugal by 'Programa Operacional Fatores de Competitividade -COMPETE'; National Funds, Portugal through FCT -Foundation for Science and Technology [UIDB/04292/2020, SFRH/BD/146881/2019]; Fundação para a Ciência e a Tecnologia [SFRH/BD/146881/2019] Funding Source: FCT</t>
  </si>
  <si>
    <t>University of Evora, Portugal through the project 'Estudos cientificos para protecao marinha na costa alentejana -PROTECT'; European Fisheries Fund 2007-2013 (EFF) through the Portuguese Fisheries Operational Program (PROMAR) 2007-2013; FEDER, Portugal by 'Programa Operacional Fatores de Competitividade -COMPETE'; National Funds, Portugal through FCT -Foundation for Science and Technology; Fundação para a Ciência e a Tecnologia(Fundacao para a Ciencia e a Tecnologia (FCT))</t>
  </si>
  <si>
    <t>The authors gratefully thank to all the fishermen that cooperated in the present study, also to Capitania do Porto de Sines, and Associacao de Armadores de Pesca Artesanal e Cerco do Sudoeste Alentejano e Costa Vicentina (AAPACSACV). We further acknowledge Direcao-Geral de Recursos Naturais, Seguranca e Servicos Maritimos (DGRM) and Nuno Prista and Alexandra Silva. Also thank the colleagues Antonio Fernandes, Andre Costa, Maria Joao Tavares and Nelia Penteado. The present work was funded by the University of Evora, Portugal through the project 'Estudos cientificos para protecao marinha na costa alentejana -PROTECT' and co-funded by the European Fisheries Fund 2007-2013 (EFF) through the Portuguese Fisheries Operational Program (PROMAR) 2007-2013 (operation: 31-03-05-FEP-12). Additionally, this work was financially supported by FEDER, Portugal by means of 'Programa Operacional Fatores de Competitividade -COMPETE' and National Funds, Portugal through FCT -Foundation for Science and Technology via the strategic project UIDB/04292/2020 and SFRH/BD/146881/2019 (Doctoral awarded to Nuno Castro).</t>
  </si>
  <si>
    <t>10.1016/j.rsma.2021.101643</t>
  </si>
  <si>
    <t>WOS:000640498100002</t>
  </si>
  <si>
    <t>Hernández-Zazueta, MS; García-Romo, JS; Noguera-Artiaga, L; Luzardo-Ocampo, I; Carbonell-Barrachina, AA; Taboada-Antelo, P; Campos-Vega, R; Rosas-Burgos, EC; Burboa-Zazueta, MG; Ezquerra-Brauer, JM; Martínez-Soto, JM; Santacruz-Ortega, HD; Burgos-Hernández, A</t>
  </si>
  <si>
    <t>Hernandez-Zazueta, Martin Samuel; Garcia-Romo, Joel Said; Noguera-Artiaga, Luis; Luzardo-Ocampo, Ivan; Carbonell-Barrachina, Angel Antonio; Taboada-Antelo, Pablo; Campos-Vega, Rocio; Rosas-Burgos, Ema Carina; Burboa-Zazueta, Maria Guadalupe; Ezquerra-Brauer, Josafat Marina; Martinez-Soto, Juan Manuel; Santacruz-Ortega, Hisila del Carmen; Burgos-Hernandez, Armando</t>
  </si>
  <si>
    <t>Octopus vulgaris ink extracts exhibit antioxidant, antimutagenic, cytoprotective, antiproliferative, and proapoptotic effects in selected human cancer cell lines</t>
  </si>
  <si>
    <t>antioxidant; apoptosis; bioactive compound; cytotoxicity; fish</t>
  </si>
  <si>
    <t>SQUID INK; APOPTOSIS; INHIBITION; INDUCTION; GROWTH; PURIFICATION; CAPROLACTAM; ACTIVATION; ACID</t>
  </si>
  <si>
    <t>Cancer is a noncommunicable disease of rising worldwide concern. Marine food products such as Octopus vulgaris ink (OI) could be sources of compounds addressing these concerns. This study aimed to evaluate the antimutagenic, cytoprotective, antiproliferative, proapoptotic, and antioxidant capacity of OI extracts on human cancer cell lines (22Rv1, HeLa, A549). The ARPE-19 cell line was used as a reference human cell line to evaluate the ink's cytotoxicity. The water extract exhibited the highest antimutagenic and cytoprotective effect, but the dichloromethane extract (DM) showed the lowest half lethal concentration against 22Rv1 cells. Structural elucidation of purified DM fractions (F1, F2, F3) identified an unreported compound, N-(2-ozoazepan-3-yl)-pyrrolidine-2-carboxamide (OPC). DM-F2 showed high antiproliferative effect (LC50 = 27.6 mu g/mL), reactive species modulation, early-apoptosis induction (42.9%), and nuclei disruption in 22Rv1 cells. In silico analysis predicted high OPC affinity with Cyclin D1 (-6.70 kcal/mol), suggesting its potential impact on cell cycle arrest. These results highlight the antimutagenic, cytoprotective, and antiproliferative potential health benefits derived from underutilized marine food products such as OI. Further investigations at in vitro or in vivo levels are required to elucidate mechanisms and health benefits from OI. Practical Application O. vulgaris ink is an underutilized marine natural product that could be a source of biological compounds with potential health benefits such as antioxidant activity and cancer prevention.</t>
  </si>
  <si>
    <t>[Hernandez-Zazueta, Martin Samuel; Garcia-Romo, Joel Said; Rosas-Burgos, Ema Carina; Ezquerra-Brauer, Josafat Marina; Burgos-Hernandez, Armando] Univ Sonora, Dept Invest &amp; Posgrad Alimentos, Hermosillo 83000, Sonora, Mexico; [Noguera-Artiaga, Luis; Carbonell-Barrachina, Angel Antonio] Univ Miguel Hernandez Elche, Escuela Politecn Super Orihuela, Alicante 03312, Spain; [Taboada-Antelo, Pablo] Univ Santiago de Compostela, Grp Fis Coloides &amp; Polimeros, Dept Fis Particulas, Santiago De Compostela 15782, Galicia, Spain; [Luzardo-Ocampo, Ivan; Campos-Vega, Rocio] Univ Autonoma Queretaro, Sch Chem, Res &amp; Grad Program Food Sci, Queretaro 76010, Mexico; [Burboa-Zazueta, Maria Guadalupe] Univ Sonora, Dept Invest Cient &amp; Tecnol, Hermosillo 83000, Sonora, Mexico; [Martinez-Soto, Juan Manuel] Univ Sonora, Dept Med &amp; Ciencias Salud, Hermosillo 83000, Sonora, Mexico; [Santacruz-Ortega, Hisila del Carmen] Univ Sonora, Dept Invest Polimeros &amp; Mat, Hermosillo 83000, Sonora, Mexico</t>
  </si>
  <si>
    <t>Universidad de Sonora; Universidad Miguel Hernandez de Elche; Universidade de Santiago de Compostela; Universidad Autonoma de Queretaro; Universidad de Sonora; Universidad de Sonora; Universidad de Sonora</t>
  </si>
  <si>
    <t>L Authors would like to thank the Consejo Nacional de Ciencia y Tecnologia (CONACyT-Mexico) for the graduate scholarship granted to Martin Samuel Hernandez-Zazueta and for the financial support granted to research projects 241133 and 2174. The technical support for this research work, provided by Edgar Sandoval-Petris, Susana Gabriela Cruz-Ramirez, Alma Carolina Galvez Iriqui, and Maria del Carmen Candia-Plata, is also well appreciated.</t>
  </si>
  <si>
    <t>10.1111/1750-3841.15591</t>
  </si>
  <si>
    <t>JAN 2021</t>
  </si>
  <si>
    <t>WOS:000608412000001</t>
  </si>
  <si>
    <t>Ajana, R; Techetach, M; Saoud, Y</t>
  </si>
  <si>
    <t>Ajana, Rabia; Techetach, Mohamed; Saoud, Younes</t>
  </si>
  <si>
    <t>Reproductive cycle and fecundity of Octopus vulgaris Cuvier, 1797 from the Moroccan Mediterranean coast</t>
  </si>
  <si>
    <t>CAHIERS DE BIOLOGIE MARINE</t>
  </si>
  <si>
    <t>Octopus vulgaris; Reproductive cycle; Fecundity; Southwestern Mediterranean</t>
  </si>
  <si>
    <t>COMMON OCTOPUS; BIOLOGY; CEPHALOPODA; MOLLUSCA; WATERS; SOUTH; GULF; SEA</t>
  </si>
  <si>
    <t>The common octopus (Octopus vulgaris) is the most important cephalopod in fisheries along the Moroccan Mediterranean coast. The study aims to determine the reproductive cycle and fecundity of Octopus vulgaris which are essential for fishery management. Monthly samples were collected from commercial catches of trawling fleet operating between M'diq and Jebha from June 2013 to May 2014. The sex-ratio was 1:0.91 with no significant difference with the 1:1 expectation (P &gt; 0.05). Males ready to reproduce were present throughout the year, with earlier sexual maturity (size 9.87 cm; weight 458.97 g) as compared to females (size 11.62 cm; weight 816.66 g). The spawning season extended from March to August as shown by the gonadosomatic index. The potential fecundity was significantly correlated with female length.</t>
  </si>
  <si>
    <t>[Ajana, Rabia; Saoud, Younes] Abdelmalek Essaadi Univ, Fac Sci, Appl Biol &amp; Pathol Lab, BP 2121, Mhannech 93002, Tetuan, Morocco; [Techetach, Mohamed] Cadi Ayyad Univ, Polydisciplinary Fac Safi, Dept Biol, Environm &amp; Hlth Team, POB 4162, Safi, Morocco</t>
  </si>
  <si>
    <t>Abdelmalek Essaadi University of Tetouan; Cadi Ayyad University of Marrakech</t>
  </si>
  <si>
    <t>Ajana, R (corresponding author), Abdelmalek Essaadi Univ, Fac Sci, Appl Biol &amp; Pathol Lab, BP 2121, Mhannech 93002, Tetuan, Morocco.</t>
  </si>
  <si>
    <t>ajana.rabia@yahoo.fr</t>
  </si>
  <si>
    <t>10.21411/CBM.A.82118310</t>
  </si>
  <si>
    <t>WOS:000680506000006</t>
  </si>
  <si>
    <t>Gutnick, T; Zullo, L; Hochner, B; Kuba, MJ</t>
  </si>
  <si>
    <t>Gutnick, Tamar; Zullo, Letizia; Hochner, Binyamin; Kuba, Michael J.</t>
  </si>
  <si>
    <t>Use of Peripheral Sensory Information for Central Nervous Control of Arm Movement by Octopus vulgaris</t>
  </si>
  <si>
    <t>DISCRIMINATION; RECOGNITION; CEPHALOPODS; SYSTEM</t>
  </si>
  <si>
    <t>Octopuses are active predators with highly flexible bodies and rich behavioral repertoires [1-3]. They display advanced cognitive abilities, and the size of their large nervous system rivals that of many mammals. However, only one third of the neurons constitute the CNS, while the rest are located in an elaborate PNS, including eight arms, each containing myriad sensory receptors of various modalities [2-4]. This led early workers to question the extent to which the CNS is privy to non-visual sensory input from the periphery and to suggest that it has limited capacity to finely control arm movement [3-5]. This conclusion seemed reasonable considering the size of the PNS and the results of early behavioral tests [3, 6-8]. We recently demonstrated that octopuses use visual information to control goal-directed complex single arm movements [9]. However, that study did not establish whether animals use information from the arm itself [9-12]. We here report on development of two-choice, single-arm mazes that test the ability of octopuses to perform operant learning tasks that mimic normal tactile exploration behavior and require the non-peripheral neural circuitry to use focal sensory information originating in single arms [1, 10]. We show that the CNS of the octopus uses peripheral information about arm motion as well as tactile input to accomplish learning tasks that entail directed control of movement. We conclude that although octopus arms have a great capacity to act independently, they are also subject to central control, allowing well-organized, purposeful behavior of the organism as a whole.</t>
  </si>
  <si>
    <t>[Gutnick, Tamar; Hochner, Binyamin; Kuba, Michael J.] Hebrew Univ Jerusalem, Inst Life Sci, Dept Neurobiol, Edmond J Safra Campus, IL-91904 Jerusalem, Israel; [Gutnick, Tamar; Kuba, Michael J.] Grad Univ, Okinawa Inst Sci &amp; Technol, Onna, Okinawa 9040495, Japan; [Zullo, Letizia] Ist Italiano Tecnol, Ctr MicroBioRobot, Largo Rosanna Benzi 10, I-16132 Genoa, Italy; [Zullo, Letizia] Ist Italiano Tecnol, Ctr Synapt Neurosci &amp; Technol NSYN, Largo Rosanna Benzi 10, I-16132 Genoa, Italy</t>
  </si>
  <si>
    <t>Hebrew University of Jerusalem; Okinawa Institute of Science &amp; Technology Graduate University; Istituto Italiano di Tecnologia - IIT; Istituto Italiano di Tecnologia - IIT</t>
  </si>
  <si>
    <t>Gutnick, T; Kuba, MJ (corresponding author), Hebrew Univ Jerusalem, Inst Life Sci, Dept Neurobiol, Edmond J Safra Campus, IL-91904 Jerusalem, Israel.;Gutnick, T; Kuba, MJ (corresponding author), Grad Univ, Okinawa Inst Sci &amp; Technol, Onna, Okinawa 9040495, Japan.</t>
  </si>
  <si>
    <t>tamar.gutnick@mail.huji.ac.il; michi.kuba@mac.com</t>
  </si>
  <si>
    <t>Project OCTOPUS, a European Commission 7th Framework Programme (FP7)</t>
  </si>
  <si>
    <t>This work was supported by Project OCTOPUS, a European Commission 7th Framework Programme (FP7). We thank K. Thonhauser, J. Groff, and J. Richter for their help in running the experiments. We thank R. Byrne, who supported this project with discussion and ideas.</t>
  </si>
  <si>
    <t>NOV 2</t>
  </si>
  <si>
    <t>10.1016/j.cub.2020.08.037</t>
  </si>
  <si>
    <t>WOS:000585930500040</t>
  </si>
  <si>
    <t>Whang, I; Lee, B; Krishnan, R; Nakajima, H; Furuya, H; Shin, SP</t>
  </si>
  <si>
    <t>Whang, Ilson; Lee, Beomseok; Krishnan, Rahul; Nakajima, Hiroaki; Furuya, Hidetaka; Shin, Sang Phil</t>
  </si>
  <si>
    <t>Dicyema sphyrocephalum (Phylum Dicyemida: Dicyemidae) isolated from Korean common octopus Callistoctopus minor in Korea</t>
  </si>
  <si>
    <t>JOURNAL OF VETERINARY SCIENCE</t>
  </si>
  <si>
    <t>Dicyema sphyrocephalum; Korean common octopus; Callistoctopus minor; kidney</t>
  </si>
  <si>
    <t>RIBOSOMAL DNA; MESOZOA</t>
  </si>
  <si>
    <t>Background: Dicyemids are parasites found in the renal sac of cephalopods. The first species of dicyemid was found from kidneys of the Korean common octopus Callistoctopus minor. Objectives: This study aimed to identify the dicyemid and investigate the effect on renal sac of host. Methods: In this study, we compared the morphological characteristics of isolate to dicyemids (Dicyema sphyrocephalum, Dicyema clavatum, and Dicyema dolichocephalum) reported from C. minor in Japan. We compared the 18S ribosomal RNA (rDNA) and cytochrome c oxidase subunit I (COI) sequences of isolate to the sequences of D. shyrocephalum and D. clavatum. The infected octopuses renal tissues were histologically compared with the tissues of uninfected individuals. Results: The morphological characteristic of this isolated species corresponds to D. sphyrocephalum. The sequences similarities of 18S rDNA and COI gene of isolate are 99.7% and 98.1% with D. sphyrocephalum. We observed morphological changes in the epithelia folds of kidney at the dicyemids attached areas. Conclusions: The present study identified the isolate as D. sphyrocephalum and this is the first report of dicyemid species from Republic of Korea. Further studies on the effects of dicyemids on growth and health status of cephalopods will be needed.</t>
  </si>
  <si>
    <t>[Whang, Ilson] Natl Marine Biodivers Inst Korea MABIK, Dept Genet Resources Res, Seocheon 33662, South Korea; [Lee, Beomseok; Krishnan, Rahul] Chonnam Natl Univ, Dept Aqualife Med, Yeosu 59626, South Korea; [Nakajima, Hiroaki; Furuya, Hidetaka] Osaka Univ, Grad Sch Sci, Dept Biol, 1 Machikaneyamacho, Toyonaka, Osaka 5600043, Japan; [Shin, Sang Phil] Jeju Natl Univ, Dept Marine Life Sci, 102 Jejudaehak Ro, Jeju 63243, South Korea; [Shin, Sang Phil] Jeju Natl Univ, Marine Sci Inst, Jeju 63243, South Korea</t>
  </si>
  <si>
    <t>Chonnam National University; University of Osaka; Jeju National University; Jeju National University</t>
  </si>
  <si>
    <t>Furuya, H (corresponding author), Osaka Univ, Grad Sch Sci, Dept Biol, 1 Machikaneyamacho, Toyonaka, Osaka 5600043, Japan.;Shin, SP (corresponding author), Jeju Natl Univ, Dept Marine Life Sci, 102 Jejudaehak Ro, Jeju 63243, South Korea.;Shin, SP (corresponding author), Jeju Natl Univ, Fish Vaccine Res Ctr, 102 Jejudaehak Ro, Jeju 63243, South Korea.</t>
  </si>
  <si>
    <t>hfuruya@bio.sci.osaka-u.ac.jp; ssp1201@jejunu.ac.kr</t>
  </si>
  <si>
    <t>Research Program of the National Marine Biodiversity Institute of Korea - Ministry of Oceans and Fisheries [MABIK2020M00600]; National Research Foundation of Korea (NRF) - Ministry of Education, Korea [NRF-2019R1I1A1A01054079, 2019R1A2C1087028]</t>
  </si>
  <si>
    <t>Research Program of the National Marine Biodiversity Institute of Korea - Ministry of Oceans and Fisheries; National Research Foundation of Korea (NRF) - Ministry of Education, Korea(Ministry of Education (MOE), Republic of KoreaNational Research Foundation of Korea)</t>
  </si>
  <si>
    <t>This work was supported by the Research Program of the National Marine Biodiversity Institute of Korea (MABIK2020M00600) funded by the Ministry of Oceans and Fisheries and Basic Science Research Program through the National Research Foundation of Korea (NRF) funded by the Ministry of Education (NRF-2019R1I1A1A01054079 and 2019R1A2C1087028), Korea.</t>
  </si>
  <si>
    <t>e86</t>
  </si>
  <si>
    <t>10.4142/jvs.2020.21.e86</t>
  </si>
  <si>
    <t>WOS:000596948500008</t>
  </si>
  <si>
    <t>Tedesco, P; Caffara, M; Gustinelli, A; Fiorito, G; Fioravanti, ML</t>
  </si>
  <si>
    <t>Tedesco, Perla; Caffara, Monica; Gustinelli, Andrea; Fiorito, Graziano; Fioravanti, Maria Letizia</t>
  </si>
  <si>
    <t>Metacestodes of Elasmobranch Tapeworms in Octopus vulgaris (Mollusca, Cephalopoda) from Central Mediterranean-SEM and Molecular Data</t>
  </si>
  <si>
    <t>octopus; cephalopod; parasite; cestode; life cycle; SEM; 28S rDNA; Acanthobothrium; Anthobothrium; Nybelinia</t>
  </si>
  <si>
    <t>LARVAL CESTODES; 1ST RECORD; PLATYHELMINTHES; HOST; TETRAPHYLLIDEA; OMMASTREPHIDAE; IDENTIFICATION; TERMINOLOGY; PARASITES; WATERS</t>
  </si>
  <si>
    <t>Simple Summary Information on the role of cephalopods in the life cycle of elasmobranch tapeworms and other parasites transmitted through the food web is limited. Such knowledge is useful to gain further understanding of the biology and ecology of this group of mollusks and would inform a correct management of wild cephalopod stocks for conservation and fishery purposes. In the present work, we aimed to characterize tapeworms infecting the common octopus Octopus vulgaris, one of the most widely distributed and commercially important cephalopod species, with morphological and molecular methods. Our results suggest a possible important role of O. vulgaris in the transmission of elasmobranch tapeworms and add valuable information on the host-range and distribution of the tapeworms identified. Cephalopods are intermediate/paratenic hosts in the life cycle of elasmobranch tapeworms, nevertheless most records of infection in this group of mollusks are outdated and fragmentary. The present work aimed to investigate the cestode fauna of the common octopus Octopus vulgaris from the Tyrrhenian Sea (Central Mediterranean). The parasitic stages were characterized by light and Scanning Electron Microscopy (SEM) and sequencing of 28S rDNA. Three cestode taxa were identified to the genus level: the onchoproteocephalidean Acanthobothrium sp. (prevalence 28%), the tetraphyllidean Anthobothrium sp. (prevalence 13%) and the trypanorhynch Nybelinia sp. (prevalence 3%). The remarkable prevalence observed for gastrointestinal cestodes highlight a possible important role of O. vulgaris in the transmission of elasmobranch tapeworms, particularly Onchoproteocephalideans. Furthermore, the present work provides, for the first time, detailed morphological (SEM) and molecular support to confirm the occurrence of Anthobothrium sp. in cephalopod hosts. In order to gain higher taxonomic resolution for the identified taxa, we stress the need to collect further morphological and molecular data of adult cestodes infecting their elasmobranch definitive hosts.</t>
  </si>
  <si>
    <t>[Tedesco, Perla; Caffara, Monica; Gustinelli, Andrea; Fioravanti, Maria Letizia] Alma Mater Studiorum Univ Bologna, Dept Vet Med Sci, Via Tolara 50, I-40064 Ozzano Dell Emilia, BO, Italy; [Fiorito, Graziano] Dept Biol &amp; Evolut Marine Organisms, Stn Zool Anton Dohrn, Villa Comunale, I-80121 Naples, Italy</t>
  </si>
  <si>
    <t>University of Bologna; Stazione Zoologica Anton Dohrn</t>
  </si>
  <si>
    <t>Tedesco, P (corresponding author), Alma Mater Studiorum Univ Bologna, Dept Vet Med Sci, Via Tolara 50, I-40064 Ozzano Dell Emilia, BO, Italy.</t>
  </si>
  <si>
    <t>perla.tedesco@unibo.it; monica.caffara@unibo.it; andrea.gustinelli2@unibo.it; graziano.fiorito@szn.it; marialeti.fioravanti@unibo.it</t>
  </si>
  <si>
    <t>RITMARE (Italian research for the Sea) Flagship project - Italian Ministry of University and Research (MIUR); Stazione Zoologica Anton Dohrn</t>
  </si>
  <si>
    <t>RITMARE (Italian research for the Sea) Flagship project - Italian Ministry of University and Research (MIUR)(Ministry of Education, Universities and Research (MIUR)); Stazione Zoologica Anton Dohrn</t>
  </si>
  <si>
    <t>The authors would like to thank F. Iamunno and R. Graziano (Electron Microscopy Service, Stazione Zoologica Anton Dohrn, Naples, Italy) for their technical assistance. This study was supported by RITMARE (Italian research for the Sea) Flagship project funded by the Italian Ministry of University and Research (MIUR) and by Stazione Zoologica Anton Dohrn.</t>
  </si>
  <si>
    <t>10.3390/ani10112038</t>
  </si>
  <si>
    <t>WOS:000592877400001</t>
  </si>
  <si>
    <t>Almeida, D; Domínguez-Pérez, D; Matos, A; Agüero-Chapin, G; Osório, H; Vasconcelos, V; Campos, A; Antunes, A</t>
  </si>
  <si>
    <t>Almeida, Daniela; Dominguez-Perez, Dany; Matos, Ana; Aguero-Chapin, Guillermin; Osorio, Hugo; Vasconcelos, Vitor; Campos, Alexandre; Antunes, Agostinho</t>
  </si>
  <si>
    <t>Putative Antimicrobial Peptides of the Posterior Salivary Glands from the Cephalopod Octopus vulgaris Revealed by Exploring a Composite Protein Database</t>
  </si>
  <si>
    <t>ANTIBIOTICS-BASEL</t>
  </si>
  <si>
    <t>cephalopods; common octopus; shotgun-proteomics; AMPs; toxins</t>
  </si>
  <si>
    <t>SNAKE-VENOM METALLOPROTEINASES; AMINO-ACID SEQUENCE; TRYPSIN-INHIBITOR; HOST-DEFENSE; UBIQUITIN; PURIFICATION; FAMILY; POLYPEPTIDE; CUTTLEFISH; PHYLOGENY</t>
  </si>
  <si>
    <t>Cephalopods, successful predators, can use a mixture of substances to subdue their prey, becoming interesting sources of bioactive compounds. In addition to neurotoxins and enzymes, the presence of antimicrobial compounds has been reported. Recently, the transcriptome and the whole proteome of the Octopus vulgaris salivary apparatus were released, but the role of some compounds-e.g., histones, antimicrobial peptides (AMPs), and toxins-remains unclear. Herein, we profiled the proteome of the posterior salivary glands (PSGs) of O. vulgaris using two sample preparation protocols combined with a shotgun-proteomics approach. Protein identification was performed against a composite database comprising data from the UniProtKB, all transcriptomes available from the cephalopods' PSGs, and a comprehensive non-redundant AMPs database. Out of the 10,075 proteins clustered in 1868 protein groups, 90 clusters corresponded to venom protein toxin families. Additionally, we detected putative AMPs clustered with histones previously found as abundant proteins in the saliva of O. vulgaris. Some of these histones, such as H2A and H2B, are involved in systemic inflammatory responses and their antimicrobial effects have been demonstrated. These results not only confirm the production of enzymes and toxins by the O. vulgaris PSGs but also suggest their involvement in the first line of defense against microbes.</t>
  </si>
  <si>
    <t>[Almeida, Daniela; Dominguez-Perez, Dany; Matos, Ana; Aguero-Chapin, Guillermin; Vasconcelos, Vitor; Campos, Alexandre; Antunes, Agostinho] Univ Porto, CIIMAR CIMAR Interdisciplinary Ctr Marine &amp; Envir, P-4450208 Porto, Portugal; [Matos, Ana; Aguero-Chapin, Guillermin; Vasconcelos, Vitor; Antunes, Agostinho] Univ Porto, Fac Sci, Biol Dept, P-4169007 Porto, Portugal; [Osorio, Hugo] Univ Porto, I3S Inst Invest &amp; Inovacao Saude I3S, P-4200135 Porto, Portugal; [Osorio, Hugo] Univ Porto, Ipatimup Inst Mol Pathol &amp; Immunol, P-4200135 Porto, Portugal; [Osorio, Hugo] Univ Porto, Fac Med, Dept Pathol &amp; Oncol, P-4200319 Porto, Portugal</t>
  </si>
  <si>
    <t>Universidade do Porto; Universidade do Porto; Universidade do Porto; i3S - Instituto de Investigacao e Inovacao em Saude, Universidade do Porto; Universidade do Porto; Universidade do Porto</t>
  </si>
  <si>
    <t>Antunes, A (corresponding author), Univ Porto, CIIMAR CIMAR Interdisciplinary Ctr Marine &amp; Envir, P-4450208 Porto, Portugal.;Antunes, A (corresponding author), Univ Porto, Fac Sci, Biol Dept, P-4169007 Porto, Portugal.</t>
  </si>
  <si>
    <t>danielaalmeida23@gmail.com; danydguezperez@gmail.com; anabastosmatos@gmail.com; gaguero@gmail.com; hosorio@i3s.up.pt; vmvascon@fc.up.pt; acampos@ciimar.up.pt; aantunes@ciimar.up.pt</t>
  </si>
  <si>
    <t>FCT [UIDB/04423/2020, UIDP/04423/2020]; European Regional Development Fund (ERDF); European Structural and Investment Funds (ESIF) through the Competitiveness and Internationalization Operational Progra-COMPETE 2020; National Funds through the FCT [PTDC/CTA-AMB/31774/2017, POCI-01-0145-FEDER/031774/2017]; Fundação para a Ciência e a Tecnologia [PTDC/CTA-AMB/31774/2017] Funding Source: FCT</t>
  </si>
  <si>
    <t>FCT(Fundacao para a Ciencia e a Tecnologia (FCT)); European Regional Development Fund (ERDF)(European Union (EU)); European Structural and Investment Funds (ESIF) through the Competitiveness and Internationalization Operational Progra-COMPETE 2020; National Funds through the FCT(Fundacao para a Ciencia e a Tecnologia (FCT)); Fundação para a Ciência e a Tecnologia(Fundacao para a Ciencia e a Tecnologia (FCT))</t>
  </si>
  <si>
    <t>AA was partially supported by the Strategic Funding UIDB/04423/2020 and UIDP/04423/2020 through national funds provided by FCT and the European Regional Development Fund (ERDF) in the framework of the program PT2020, by the European Structural and Investment Funds (ESIF) through the Competitiveness and Internationalization Operational Progra-COMPETE 2020 and by National Funds through the FCT under the project PTDC/CTA-AMB/31774/2017 (POCI-01-0145-FEDER/031774/2017).</t>
  </si>
  <si>
    <t>10.3390/antibiotics9110757</t>
  </si>
  <si>
    <t>Infectious Diseases; Pharmacology &amp; Pharmacy</t>
  </si>
  <si>
    <t>WOS:000592820200001</t>
  </si>
  <si>
    <t>Soto, C; Kelber, A; Hanke, FD</t>
  </si>
  <si>
    <t>Soto, Cecilia; Kelber, Almut; Hanke, Frederike D.</t>
  </si>
  <si>
    <t>The Pupillary Response of the Common Octopus (Octopus vulgaris)</t>
  </si>
  <si>
    <t>pupil; vision; pupil light reaction; pupil dark reaction; shadow effect</t>
  </si>
  <si>
    <t>PIGMENT MIGRATION; LIGHT REFLEX; CHROMATIC ABERRATION; ELEDONE-CIRRHOSA; EYE; SQUID; CEPHALOPODS; SENSE; DISCRIMINATION; PATTERNS</t>
  </si>
  <si>
    <t>Cephalopods have very conspicuous eyes that are often compared to fish eyes. However, in contrast to many fish, the eyes of cephalopods possess mobile pupils. To increase the knowledge of pupillary and thus visual function in cephalopods, the dynamics of the pupil of one of the model species among cephalopods, the common octopus (Octopus vulgaris), was determined in this study. We measured pupillary area as a function of ambient luminance to document the light and dark reaction of the octopus eye. The results show that weak light (&lt;1 cd/m(2)) is enough to cause a pupil constriction in octopus, and that the pupil reacts fast to changing light conditions. The t(50)-value defined as the time required for achieving half-maximum constriction ranged from 0.45 to 1.29 s and maximal constriction from 10 to 20% of the fully dilated pupil area, depending on the experimental condition. Axial light had a stronger influence on pupil shape than light from above, which hints at a shadow effect of the horizontal slit pupil. We observed substantial variation of the pupil area under all light conditions indicating that light-independent factors such as arousal or the need to camouflage the eye affect pupil dilation/constriction. In conclusion, the documentation of pupil dynamics provides evidence that the pupil of octopus is adapted to low ambient light levels. Nevertheless it can quickly adapt to and thus function under brighter illumination and in a very inhomogeneous light environment, an ability mediated by the dynamic pupil in combination with previously described additional processes of light/dark adaptation in octopus.</t>
  </si>
  <si>
    <t>[Soto, Cecilia] Univ Rostock, Inst Biosci, Sensory &amp; Cognit Ecol, Rostock, Germany; [Kelber, Almut; Hanke, Frederike D.] Lund Univ, Dept Biol, Vis Grp, Lund, Sweden; [Hanke, Frederike D.] Univ Rostock, Inst Biosci, Neuroethol, Rostock, Germany</t>
  </si>
  <si>
    <t>University of Rostock; Lund University; University of Rostock</t>
  </si>
  <si>
    <t>Hanke, FD (corresponding author), Lund Univ, Dept Biol, Vis Grp, Lund, Sweden.;Hanke, FD (corresponding author), Univ Rostock, Inst Biosci, Neuroethol, Rostock, Germany.</t>
  </si>
  <si>
    <t>Deutsche Forschungsgemeinschaft; University Rostock/University medicine Rostock</t>
  </si>
  <si>
    <t>Deutsche Forschungsgemeinschaft(German Research Foundation (DFG)); University Rostock/University medicine Rostock</t>
  </si>
  <si>
    <t>This study was supported by a grant of the Deutsche Forschungsgemeinschaft to FH (HA 17891/2-1). We furthermore acknowledge the financial support of the Deutsche Forschungsgemeinschaft and the University Rostock/University medicine Rostock within the funding program Open Access Publishing.</t>
  </si>
  <si>
    <t>SEP 18</t>
  </si>
  <si>
    <t>10.3389/fphys.2020.01112</t>
  </si>
  <si>
    <t>WOS:000576442000001</t>
  </si>
  <si>
    <t>Casalini, A; Roncarati, A; Emmanuele, P; Guercilena, N; Bonaldo, A; Parma, L; Mordenti, O</t>
  </si>
  <si>
    <t>Casalini, Antonio; Roncarati, Alessandra; Emmanuele, Pietro; Guercilena, Niccolo; Bonaldo, Alessio; Parma, Luca; Mordenti, Oliviero</t>
  </si>
  <si>
    <t>Evaluation of reproductive performances of the common octopus (Octopus vulgaris) reared in water recirculation systems and fed different diets</t>
  </si>
  <si>
    <t>FATTY-ACID-COMPOSITION; BIOCHEMICAL-COMPOSITION; GROWTH-PERFORMANCE; FEED-EFFICIENCY; PARALARVAE; FISH; CEPHALOPODS; QUALITY; ENERGY; EGGS</t>
  </si>
  <si>
    <t>The reproductive performance of Octopus vulgaris broodstocks fed two different diets (mixed fish [F group, BW 1,048.14 g] or mixed crustaceans [C group, BW 998.44 g]) was analyzed using an experimental recirculating aquaculture system consisting of a tank equipped with spawning and incubation chambers. A total of 8 females (F1-4; C1-4), and 8 males (M1-M8) were selected. DI of the C group females was significantly (p&lt;0.05) higher (3.00.29%) than the F group (2.16 +/- 0.67%). SGR in C group was significantly higher (1.43 +/- 0.12%) than the F group (1.18 +/- 0.25%). Egg clusters, number of clusters, number of clusters/kg BW, and total length were more favorable in the C group than the F group. The number of clusters/kg BW of C females was 2.5 times higher than that of F females (78.1 +/- 6.5 vs 31.1 +/- 13.3). The total eggs number, number of eggs/cm, number of eggs/kg BW in the C group were significantly (p&lt;0.05) higher compared with the F group; the number of eggs/kg BW and paralarvae/kg BW were 5 times higher in the C group (115,92812,513 C vs 22,109 +/- 7912 F and 114,953 +/- 12,591 vs 20,729 +/- 7104, respectively). Hatching rate of the C group was significantly (p&lt;0.05) higher compared to the F group.</t>
  </si>
  <si>
    <t>[Casalini, Antonio; Emmanuele, Pietro; Guercilena, Niccolo; Bonaldo, Alessio; Parma, Luca; Mordenti, Oliviero] Univ Bologna, Dept Vet Med Sci DIMEVET, Via Tolara 50, I-40064 Ozzano Dellemilia, BO, Italy; [Roncarati, Alessandra] Univ Camerino, Sch Biosci &amp; Vet Med, Viale Circonvallaz 93-95, I-62024 Matelica, MC, Italy</t>
  </si>
  <si>
    <t>Roncarati, A (corresponding author), Univ Camerino, Sch Biosci &amp; Vet Med, Viale Circonvallaz 93-95, I-62024 Matelica, MC, Italy.</t>
  </si>
  <si>
    <t>alessandra.roncarati@unicam.it</t>
  </si>
  <si>
    <t>Italian Association Associazione Italiana Pesca Sportiva e Ricreativa (Ravenna, Italy)</t>
  </si>
  <si>
    <t>This research was supported by the Italian Association Associazione Italiana Pesca Sportiva e Ricreativa (Ravenna, Italy). The authors are particularly grateful to Mr. Roberto Casali, Economia del Mare (Cesenatico, Italy), for providing fish for octopus feeding.</t>
  </si>
  <si>
    <t>SEP 17</t>
  </si>
  <si>
    <t>10.1038/s41598-020-72151-y</t>
  </si>
  <si>
    <t>WOS:000573758500005</t>
  </si>
  <si>
    <t>Cai, BN; Wan, P; Chen, H; Chen, X; Sun, HL; Pan, JY</t>
  </si>
  <si>
    <t>Cai, Bingna; Wan, Peng; Chen, Hua; Chen, Xin; Sun, Huili; Pan, Jianyu</t>
  </si>
  <si>
    <t>Identification of octopus peptide and its promotion of β-casein synthesis in a mouse mammary epithelial cell line</t>
  </si>
  <si>
    <t>JOURNAL OF FOOD BIOCHEMISTRY</t>
  </si>
  <si>
    <t>mouse mammary epithelial cell; Octopus vulgaris; peptides; beta-casein synthesis</t>
  </si>
  <si>
    <t>AMINO-ACID-METABOLISM; SIGNALING PATHWAYS; METHIONINE SOURCES; PROTEIN ACCRETION; GENE-EXPRESSION; MTOR PATHWAY; GLAND; TRANSPORT; VULGARIS; RESPONSES</t>
  </si>
  <si>
    <t>Octopus protein hydrolysate has been reported to increase milk yield and milk protein production. In this paper, the utilization and underlying mechanisms of bioactive peptide fractions from octopus protein hydrolysate on beta-casein expression in mouse mammary epithelial cells (HC11) were investigated. Fraction OPH3-1 significantly stimulated cell proliferation and beta-casein synthesis in HC11 cells, which was purified by ultra-filtration and gel-filtration chromatography. The MWs of the peptides from OPH3-1 ranged from 525-2,578 Da and consisted of 7-26 amino acid residues. Most of the peptides demonstrated the typical characteristics of milk protein synthesis promotion, especially MGLAGPR, MGDVLNF, EAPLMHV, and TEAPLMHV. Additionally, the mRNA abundances of mTOR, S6K1, 4EBP1, JAK2, and STAT5 were significantly enhanced by OPH3-1, which was consistent with the increased beta-casein expression. These results suggest that the OPH3-1 peptides can promote the proliferation of mammary epithelial cells and increase beta-casein synthesis. Practical applications Breastfeeding mothers are generally recommended to take octopus soup as a daily diet to promote lactation. The peptides fraction OPH3-1 from the enzymatic hydrolysate ofOctopus vulgariswhich was revealed to significantly stimulate mammary epithelial cell proliferation and beta-casein synthesis was obtained. This study suggests that octopus peptides can be used as nutritional supplements to increase the quantity and quality of milk production.</t>
  </si>
  <si>
    <t>[Cai, Bingna; Wan, Peng; Chen, Hua; Sun, Huili; Pan, Jianyu] Chinese Acad Sci, South China Sea Inst Oceanol, Guangdong Key Lab Marine Mat Med, Key Lab Trop Marine Bioresources &amp; Ecol, Guangzhou, Guangdong, Peoples R China; [Cai, Bingna; Pan, Jianyu] Chinese Acad Sci, Innovat Acad South China Sea Ecol &amp; Environm Engn, Guangzhou, Guangdong, Peoples R China; [Wan, Peng; Chen, Hua] Southern Marine Sci &amp; Engn Guangdong Lab Guangzho, Guangzhou, Guangdong, Peoples R China; [Chen, Xin] Foshan Univ, Sch Environm &amp; Chem Engn, Foshan, Guangdong, Peoples R China</t>
  </si>
  <si>
    <t>Chinese Academy of Sciences; South China Sea Institute of Oceanology, CAS; Chinese Academy of Sciences; Southern Marine Science &amp; Engineering Guangdong Laboratory; Southern Marine Science &amp; Engineering Guangdong Laboratory (Guangzhou); Foshan University</t>
  </si>
  <si>
    <t>Pan, JY (corresponding author), 164 Xingangxi Rd,POB 510301, Guangzhou, Peoples R China.</t>
  </si>
  <si>
    <t>Pearl River S&amp;T Nova Program of Guangzhou [201710010095]; Key Special Project for Introduced Talents Team of Southern Marine Science and Engineering Guangdong Laboratory (Guangzhou) [GML2019ZD0406]; Science and Technology Projects of Foshan, China [2019011]; Science and Technology Program of Guangzhou, China [201707010164, 201804010321, 201804010364]; Program of Department of Natural Resources of Guangdong Province [GDNRC[2020] 036, GDNRC[2020] 038]; National Natural Science Foundation of Guangdong, China [2018A0303130144, 2018A030313088, 2018A030313626, 2018A030313903]; National Key R&amp;D Program of China [2018YFC0311202]</t>
  </si>
  <si>
    <t>Pearl River S&amp;T Nova Program of Guangzhou; Key Special Project for Introduced Talents Team of Southern Marine Science and Engineering Guangdong Laboratory (Guangzhou); Science and Technology Projects of Foshan, China; Science and Technology Program of Guangzhou, China(Science &amp; Technology Programme of Guangzhou); Program of Department of Natural Resources of Guangdong Province; National Natural Science Foundation of Guangdong, China; National Key R&amp;D Program of China(National Key Research &amp; Development Program of China)</t>
  </si>
  <si>
    <t>Pearl River S&amp;T Nova Program of Guangzhou, Grant/Award Number: 201710010095; Key Special Project for Introduced Talents Team of Southern Marine Science and Engineering Guangdong Laboratory (Guangzhou), Grant/Award Number: GML2019ZD0406; Science and Technology Projects of Foshan, China, Grant/Award Number: 2019011; Science and Technology Program of Guangzhou, China, Grant/Award Number: 201707010164, 201804010321 and 201804010364; Program of Department of Natural Resources of Guangdong Province, Grant/Award Number: GDNRC[2020] 036 and GDNRC[2020] 038; National Natural Science Foundation of Guangdong, China, Grant/Award Number: 2018A0303130144, 2018A030313088, 2018A030313626 and 2018A030313903; National Key R&amp;D Program of China, Grant/Award Number: 2018YFC0311202</t>
  </si>
  <si>
    <t>e13467</t>
  </si>
  <si>
    <t>10.1111/jfbc.13467</t>
  </si>
  <si>
    <t>SEP 2020</t>
  </si>
  <si>
    <t>Biochemistry &amp; Molecular Biology; Food Science &amp; Technology</t>
  </si>
  <si>
    <t>WOS:000570154900001</t>
  </si>
  <si>
    <t>Roditi, K; Antoniadou, C; Matsiori, S; Halkos, G; Vafidis, D</t>
  </si>
  <si>
    <t>Roditi, Kyriakoula; Antoniadou, Chryssanthi; Matsiori, Steriani; Halkos, George; Vafidis, Dimitris</t>
  </si>
  <si>
    <t>Longline metiers and associated economic profiles in eastern Mediterranean fisheries: The case study of Kalymnos Island (South Aegean Sea)</t>
  </si>
  <si>
    <t>OCEAN &amp; COASTAL MANAGEMENT</t>
  </si>
  <si>
    <t>Landing data; Small-scale fishery; Economic indicators; Metier; Longline</t>
  </si>
  <si>
    <t>SMALL-SCALE FISHERIES; LANDINGS PROFILES; FISHING TACTICS; CATCH RATES; MANAGEMENT; DYNAMICS; IDENTIFICATION; STRATEGIES; GULF</t>
  </si>
  <si>
    <t>The small-scale fishery has a high socio-economic importance in the Mediterranean Sea. This is especially relevant for specific areas that harbor, proportionally, very large part of the fleet, and thus, represent hot spots. Among such areas, Kalymnos Island merits special attention as it harbors the largest and most active small-scale fleet in the eastern Mediterranean. Therefore, the present study analyzes the small-scale longline fishery in Kalymnos, using the metiers approach, to assess its dynamics and evaluate associated economic profiles. A multivariate analysis was used to identify the relevant metiers, by inputting the main resources and fishing gear data that were recorded during landings. Six main practices were observed using set longlines, drifting longlines, handlines and squid jig-lines as fishing gears, and targeting the species Pagrus pagrus, Diplodus vulgaris, Pagellus erythrinus, Sparus aurata, Xiphias gladius, Octopus vulgaris and Loligo vulgaris; the above metiers earned a profit margin. The study revealed the multi-species nature of longline fishery in Kalymnos, and provided baseline information for their associated economic profiles, towards the development and implementation of sustainable management plans.</t>
  </si>
  <si>
    <t>[Roditi, Kyriakoula; Matsiori, Steriani; Vafidis, Dimitris] Univ Thessaly, Dept Ichthyol &amp; Aquat Environm, GR-38445 Volos, Greece; [Antoniadou, Chryssanthi] Aristotle Univ Thessaloniki, Sch Biol, Dept Zool, GR-54124 Thessaloniki, Greece; [Halkos, George] Univ Thessaly, Dept Econ, GR-38333 Volos, Greece</t>
  </si>
  <si>
    <t>University of Thessaly; Aristotle University of Thessaloniki; University of Thessaly</t>
  </si>
  <si>
    <t>Roditi, K (corresponding author), Univ Thessaly, Dept Ichthyol &amp; Aquat Environm, GR-38445 Volos, Greece.</t>
  </si>
  <si>
    <t>roditi@uth.gr; antonch@bio.auth.gr; steriani@uth.gr; halkos@uth.gr; dvafidis@uth.gr</t>
  </si>
  <si>
    <t>10.1016/j.ocecoaman.2020.105275</t>
  </si>
  <si>
    <t>Oceanography; Water Resources</t>
  </si>
  <si>
    <t>WOS:000571870500004</t>
  </si>
  <si>
    <t>Sánchez, JLF; Polanco, JMF; García, IL</t>
  </si>
  <si>
    <t>Fernandez Sanchez, Jose L.; Fernandez Polanco, Jose M.; Llorente Garcia, Ignacio</t>
  </si>
  <si>
    <t>Evidence of price premium for MSC-certified products at fishers' level: The case of the artisanal fleet of common octopus from Asturias (Spain)</t>
  </si>
  <si>
    <t>Artisanal fishery; Certified seafood; Eco-labelling; MSC; Price premium; Small-scale fleet</t>
  </si>
  <si>
    <t>SEAFOOD; CERTIFICATION; LABELS; PAY; COD</t>
  </si>
  <si>
    <t>Eco-labelling is gaining great international importance as a way to promote sustainable fisheries driven by the increasing demand for eco-certified products. Since 2016, the artisanal fleet to fish common octopus (Octopus vulgaris) of Navia-Porcin (Asturias, Spain) is certified by the Marine Stewardship Council (MSC), being the first octopus fishery certified by MSC in the world. Even though there is an ample evidence that confirms the existence of price premiums for seafood products with eco-labels in the retail market, there is still little research demonstrating the existence and the extent of price premiums at the producer or fisher's level, specifically from small-scale or artisanal fleets. The aim of this research is, therefore, to test the existence of a price premium for the artisanal fishers of MSC-certified common octopus from Asturias as well as to estimate the value of this premium. To carry out this analysis, we have applied the difference-in-difference (DiD) method using a panel of prices and quantities of common octopus sold at ports of the Spanish region of Asturias from 2010 to 2019. Our results confirm the existence of a price premium, between a 15.2% and a 24.6% over the uncertified octopus' price, that is paid to Asturian fishers who fish and sell the MSC-certified product. Thus, this paper provides evidence about the economic benefits of environmental certifications for small-scale and artisanal fleets to compensate the certification costs and promote sustainable fishing practices.</t>
  </si>
  <si>
    <t>[Fernandez Sanchez, Jose L.; Fernandez Polanco, Jose M.; Llorente Garcia, Ignacio] Univ Cantabria, IDES Res Grp, Avda Los Castros 56, Santander 39005, Spain</t>
  </si>
  <si>
    <t>Universidad de Cantabria</t>
  </si>
  <si>
    <t>Sánchez, JLF (corresponding author), Univ Cantabria, IDES Res Grp, Avda Los Castros 56, Santander 39005, Spain.</t>
  </si>
  <si>
    <t>fernandezjl@unican.es; jm.fernandez@unican.es; ignacio.llorente@unican.es</t>
  </si>
  <si>
    <t>European Union [635188]; H2020 Societal Challenges Programme [635188] Funding Source: H2020 Societal Challenges Programme</t>
  </si>
  <si>
    <t>European Union(European Union (EU)); H2020 Societal Challenges Programme(Horizon 2020European Union (EU)H2020 Societal Challenges Programme)</t>
  </si>
  <si>
    <t>We would like to thank to two anonymous reviewers by their interesting comments that have greatly improved our analysis. Any error or view expressed in this paper is exclusively the authors' responsibility. This work was undertaken as part of the SUCCESS project funded by the European Union's Horizon 2020 Research and Innovation Programme under the grant agreement 635188.</t>
  </si>
  <si>
    <t>10.1016/j.marpol.2020.104098</t>
  </si>
  <si>
    <t>WOS:000564689000016</t>
  </si>
  <si>
    <t>Li, FH; Bian, L; Ge, JL; Han, FM; Liu, ZH; Li, XM; Liu, YS; Lin, ZS; Shi, HL; Liu, CL; Chang, Q; Lu, B; Zhang, SN; Hu, JC; Xu, DF; Shao, CW; Chen, SQ</t>
  </si>
  <si>
    <t>Li, Fenghui; Bian, Li; Ge, Jianlong; Han, Fengming; Liu, Zhihong; Li, Xuming; Liu, Yongsheng; Lin, Zhishu; Shi, Huilai; Liu, Changlin; Chang, Qing; Lu, Bin; Zhang, Shengnong; Hu, Jiancheng; Xu, Dafeng; Shao, Changwei; Chen, Siqing</t>
  </si>
  <si>
    <t>Chromosome-level genome assembly of the East Asian common octopus (Octopus sinensis) using PacBio sequencing and Hi-C technology</t>
  </si>
  <si>
    <t>MOLECULAR ECOLOGY RESOURCES</t>
  </si>
  <si>
    <t>chromosome-level genome assembly; genome annotation; Octopus sinensis; PacBio sequencing</t>
  </si>
  <si>
    <t>VULGARIS PARALARVAE; CEPHALOPODA; PREDICTION; EVOLUTION; GROWTH; STRATEGIES; ALIGNMENT; MOLLUSCA; DATABASE; FAMILIES</t>
  </si>
  <si>
    <t>The Cephalopoda are a group of highly diverse marine species in the phylum Mollusca, which are distributed worldwide. They have evolved some vertebrate-like biological traits and exhibit complicated behavioural repertoires. Thus, they are interesting species for studying the mechanisms of evolutionary convergence, innovational functional structures and evolutionary adaptation to a highly active, predatory lifestyle in diverse marine environments. Despite the evolutionary placement and biological significance of cephalopods, genomic data on these organisms remain limited. Here, we assembled a chromosome-level genome of a female East Asian common octopus (Octopus sinensis) by combining Pacific Bioscience (PacBio) single-molecule real-time sequencing, Illumina paired-end sequencing and Hi-C technology. AnO. sinensisgenome of 2.72 Gb was assembled from a total of 245.01 Gb high-quality PacBio sequences. The assembled genome represents 80.2% completeness (BUSCO) with a contig N50 of 490.36 Kb and a scaffold N50 of 105.89 Mb, showing a considerable improvement compared with other sequenced cephalopod genomes. Hi-C scaffolding of the genome resulted in the construction of 30 pseudochromosomes in Cephalopoda, representing 96.41% of the assembled sequences. The genome contained 42.26% repeat sequences and 5,245 noncoding RNAs. A total of 31,676 protein-coding genes were predicted, of which 82.73% were functionally annotated. The comparative genomic analysis identified 17,020 orthologous gene families, including 819 unique gene families and 629 expanded gene families. This genomic information will be an important molecular resource for further investigation of biological function and evolutionary adaptations in octopuses, and facilitate research into their population genetics and comparative evolution.</t>
  </si>
  <si>
    <t>[Li, Fenghui; Bian, Li; Ge, Jianlong; Liu, Zhihong; Liu, Changlin; Chang, Qing; Zhang, Shengnong; Hu, Jiancheng; Xu, Dafeng; Shao, Changwei; Chen, Siqing] Chinese Acad Fishery Sci, Yellow Sea Fisheries Res Inst, Nanjing Rd 106, Qingdao 266071, Peoples R China; [Li, Fenghui; Xu, Dafeng] Shanghai Ocean Univ, Natl Demonstrat Ctr Expt Fisheries Sci Educ, Shanghai Engn Res Ctr Agr, Shanghai Collaborat Innovat Aquat Anim Genet &amp; Br, Shanghai, Peoples R China; [Bian, Li; Ge, Jianlong; Liu, Zhihong; Liu, Changlin; Chang, Qing; Zhang, Shengnong; Hu, Jiancheng; Shao, Changwei; Chen, Siqing] Pilot Natl Lab Marine Sci &amp; Technol Qingdao, Lab Marine Fisheries Sci &amp; Food Prod Proc, Qingdao, Peoples R China; [Han, Fengming; Li, Xuming] Biomarker Technol Corp, Beijing, Peoples R China; [Liu, Yongsheng] Fisheries Res Inst Yantai, Yantai, Peoples R China; [Lin, Zhishu] Qingdao Municipal Ocean Technol Achievement Promo, Qingdao, Peoples R China; [Shi, Huilai; Lu, Bin] Marine Fisheries Res Inst Zhejiang, Zhoushan, Peoples R China</t>
  </si>
  <si>
    <t>Chinese Academy of Fishery Sciences; Yellow Sea Fisheries Research Institute, CAFS; Shanghai Ocean University; Laoshan Laboratory</t>
  </si>
  <si>
    <t>Chen, SQ (corresponding author), Chinese Acad Fishery Sci, Yellow Sea Fisheries Res Inst, Nanjing Rd 106, Qingdao 266071, Peoples R China.</t>
  </si>
  <si>
    <t>China Agriculture Research System [CARS-49]; Central Public-interest Scientific Institution Basal Research Fund [2020GH02]</t>
  </si>
  <si>
    <t>China Agriculture Research System; Central Public-interest Scientific Institution Basal Research Fund</t>
  </si>
  <si>
    <t>China Agriculture Research System, Grant/Award Number: CARS-49; Central Public-interest Scientific Institution Basal Research Fund, Grant/Award Number: 2020GH02</t>
  </si>
  <si>
    <t>10.1111/1755-0998.13216</t>
  </si>
  <si>
    <t>AUG 2020</t>
  </si>
  <si>
    <t>WOS:000560747100001</t>
  </si>
  <si>
    <t>Maselli, V; Galdiero, E; Salzano, AM; Scaloni, A; Maione, A; Falanga, A; Naviglio, D; Guida, M; Di Cosmo, A; Galdiero, S</t>
  </si>
  <si>
    <t>Maselli, Valeria; Galdiero, Emilia; Salzano, Anna Maria; Scaloni, Andrea; Maione, Angela; Falanga, Annarita; Naviglio, Daniele; Guida, Marco; Di Cosmo, Anna; Galdiero, Stefania</t>
  </si>
  <si>
    <t>OctoPartenopin: Identification and Preliminary Characterization of a Novel Antimicrobial Peptide from the Suckers ofOctopus vulgaris</t>
  </si>
  <si>
    <t>Octopus vulgaris; antimicrobial peptides; antimicrobial activity; antibiofilm activity</t>
  </si>
  <si>
    <t>OCTOPUS OCTOPUS-VULGARIS; PROTEOLYTIC ACTIVITY; CEPHALOPODS; ARM; EVOLUTION; TEMPERATURE; CHEMISTRY; HEMOLYMPH; IMMUNITY; BEHAVIOR</t>
  </si>
  <si>
    <t>Microorganism resistance to conventional antibiotics represents one of the major global health concerns. This paper focuses on a peptide (OctoPartenopin) extracted from suckers ofOctopus vulgaris;bioassay-guided chromatographic fractionation was used to identify this sequence, which holds significant antibacterial activity against Gram-positive and Gram-negative bacteria. OctoPartenopin is encrypted within the calponin sequence and was associated with the high levels of proteolytic activity already reported in octopus arm suckers. We synthesized the parent peptide and four analogues; all peptide were tested for their antibacterial and antibiofilm activities. Preliminary antibiofilm experiments showed that that one of the analogues had the best activity in both inhibition and eradication of biofilm of all three microorganisms tested. The occurrence of OctoPartenopin in arm suckers provided novel speculative information on animal behavior, as concerns maternal care of fertilized eggs. Our results highlight that suckers are a rich source of multifaceted peptides to develop alternative antimicrobial agents and food preservatives.</t>
  </si>
  <si>
    <t>[Maselli, Valeria; Galdiero, Emilia; Maione, Angela; Guida, Marco; Di Cosmo, Anna] Univ Naples Federico II, Dept Biol, Via Cinthia, I-80126 Naples, Italy; [Salzano, Anna Maria; Scaloni, Andrea] CNR, Prote &amp; Mass Spectrometry Lab, ISPAAM, I-80147 Naples, Italy; [Falanga, Annarita] Univ Naples Federico II, Dept Agr Sci, Via Univ 100, I-80055 Naples, Italy; [Naviglio, Daniele] Univ Naples Federico II, Dept Chem Sci, Via Cinthia, I-80126 Naples, Italy; [Galdiero, Stefania] Univ Naples Federico II, Dept Pharm, Via Mezzocannone 16, I-80134 Naples, Italy</t>
  </si>
  <si>
    <t>University of Naples Federico II; Consiglio Nazionale delle Ricerche (CNR); Istituto Per Il Sistema Produzione Animale In Ambiente Mediterraneo (ISPAAM-CNR); University of Naples Federico II; University of Naples Federico II; University of Naples Federico II</t>
  </si>
  <si>
    <t>Di Cosmo, A (corresponding author), Univ Naples Federico II, Dept Biol, Via Cinthia, I-80126 Naples, Italy.;Galdiero, S (corresponding author), Univ Naples Federico II, Dept Pharm, Via Mezzocannone 16, I-80134 Naples, Italy.</t>
  </si>
  <si>
    <t>valeria.maselli@unina.it; emilia.galdiero@unina.it; annamaria.salzano@cnr.it; andrea.scaloni@ispaam.cnr.it; angela.maione3@gmail.com; annarita.falanga@unina.it; naviglio@unina.it; marco.guida@unina.it; dicosmo@unina.it; stefania.galdiero@unina.it</t>
  </si>
  <si>
    <t>Regione Campania-POR Campania FESR 2014-2020: Combattere la resistenza tumorale: piattaforma integrata multidisciplinare per un approccio tecnologico innovativo alle oncoterapie-Campania oncoterapie [B61G18000470007]; CNR project NUTR-AGE (FOE-2019) [DSB.AD004.271]</t>
  </si>
  <si>
    <t>Regione Campania-POR Campania FESR 2014-2020: Combattere la resistenza tumorale: piattaforma integrata multidisciplinare per un approccio tecnologico innovativo alle oncoterapie-Campania oncoterapie; CNR project NUTR-AGE (FOE-2019)</t>
  </si>
  <si>
    <t>This work was supported by a grant from Regione Campania-POR Campania FESR 2014-2020: Combattere la resistenza tumorale: piattaforma integrata multidisciplinare per un approccio tecnologico innovativo alle oncoterapie-Campania oncoterapie (project no. B61G18000470007), and from the CNR project NUTR-AGE (FOE-2019, DSB.AD004.271).</t>
  </si>
  <si>
    <t>10.3390/md18080380</t>
  </si>
  <si>
    <t>WOS:000567253100001</t>
  </si>
  <si>
    <t>Tinacci, L; Armani, A; Scardino, G; Guidi, A; Nucera, D; Miragliotta, V; Abramo, F</t>
  </si>
  <si>
    <t>Tinacci, L.; Armani, A.; Scardino, G.; Guidi, A.; Nucera, D.; Miragliotta, V.; Abramo, F.</t>
  </si>
  <si>
    <t>Selection of Histological Parameters for the Development of an Analytical Method for Discriminating Fresh and Frozen/Thawed Common Octopus (Octopus vulgaris) and Preventing Frauds along the Seafood Chain</t>
  </si>
  <si>
    <t>FOOD ANALYTICAL METHODS</t>
  </si>
  <si>
    <t>Cephalopods; Fraudulent substitutions; Mantle; Arm; Freezing; Tumbling</t>
  </si>
  <si>
    <t>INDEX METHOD QIM; CUTTLEFISH SEPIA-OFFICINALIS; PROTEIN FUNCTIONALITY; DIFFERENTIATE FRESH; MANTLE MUSCLE; FISH MEAT; SQUID; FROZEN; QUALITY; TEXTURE</t>
  </si>
  <si>
    <t>This study aimed at selecting effective histological indicators of the freezing process, for the discrimination of fresh and frozen common octopusOctopus vulgaris. Histological indices of freezing process were selected in mantle and arm muscle and axial nerve tissues. Seven histological parameters were chosen: overall muscle tissue structural organization (a); gaping among muscle bundles (b); presence of optically empty spaces between and within muscle bundles (c); white spaces percentage between and within muscle bundles (d); overall nerve structural organization (e); presence of linear fissures and/or empty spaces within neuropil and axonal tract (f); presence of empty spaces within connective tissue matrix surrounding the nerve (g); empty space percentage within arm axial nerve region (h). The parameters were assessed on 150 mantle muscle sections (a, b, c, d), 150 arm muscle (b, c) and nervous (e, f, g, h) tissue sections belonging to 20 fresh exemplars further subdued to conventional freezing procedure at - 20 degrees C, 25 fresh curled exemplars, 25 exemplars industrially frozen at - 80 degrees C, and 20 thawed, curled, and individually quick frozen exemplars. Overall structural organization (a, e), gaping (b), and presence of optically empty spaces (c, f) confirmed significant morphological freezing indices in mantle and arm sections. In mantle, two d values (d &lt; 25% and 25% &lt; d &lt; 33%) were proposed as complementary thresholds to be applied in association with b and c indices for freezing discrimination. These parameters appear eligible to set a method for discriminating fresh/thawed octopus products to be applied both in official control and self-check activities.</t>
  </si>
  <si>
    <t>[Tinacci, L.; Armani, A.; Scardino, G.; Guidi, A.; Miragliotta, V.; Abramo, F.] Univ Pisa, Dept Vet Sci, Viale Piagge 2, I-56124 Pisa, Italy; [Nucera, D.] Univ Turin, Dept Agr Forest &amp; Food Sci, Largo Braccini 2, I-10095 Turin, Italy</t>
  </si>
  <si>
    <t>University of Pisa; University of Turin</t>
  </si>
  <si>
    <t>Armani, A (corresponding author), Univ Pisa, Dept Vet Sci, Viale Piagge 2, I-56124 Pisa, Italy.</t>
  </si>
  <si>
    <t>andrea.armani@unipi.it</t>
  </si>
  <si>
    <t>Universita di Pisa within the CRUI-CARE Agreement; University of Pisa [PRA_2017_24]</t>
  </si>
  <si>
    <t>Universita di Pisa within the CRUI-CARE Agreement; University of Pisa</t>
  </si>
  <si>
    <t>Open access funding provided by Universita di Pisa within the CRUI-CARE Agreement. The study was performed with funds granted by the University of Pisa (Project PRA_2017_24).</t>
  </si>
  <si>
    <t>10.1007/s12161-020-01825-0</t>
  </si>
  <si>
    <t>JUL 2020</t>
  </si>
  <si>
    <t>WOS:000554721600001</t>
  </si>
  <si>
    <t>Sieiro, P; Otero, J; Aubourg, SP</t>
  </si>
  <si>
    <t>Sieiro, Pilar; Otero, Jaime; Aubourg, Santiago P.</t>
  </si>
  <si>
    <t>Biochemical Composition and Energy Strategy Along the Reproductive Cycle of FemaleOctopus vulgarisin Galician Waters (NW Spain)</t>
  </si>
  <si>
    <t>reproduction; lipids; fatty acids; proteins; glycogen; energy allocation; Octopus vulgaris; NE Atlantic Ocean</t>
  </si>
  <si>
    <t>FATTY-ACID-COMPOSITION; OCTOPUS OCTOPUS-VULGARIS; LOLIGO-FORBESI CEPHALOPODA; SQUID MOROTEUTHIS-INGENS; SEASONAL-VARIATIONS; ILLEX-ARGENTINUS; SEXUAL-MATURATION; MEDITERRANEAN SEA; DIFFERENT TISSUES; LIPID-COMPOSITION</t>
  </si>
  <si>
    <t>The common octopus,Octopus vulgaris, has a short life cycle, growing rapidly to maturity, spawning once, and characterized by an asynchronic oocyte development and a synchronic ovulation dying after breeding. This species has a protein and amino acid metabolism and it is usually defined as an income breeder. However, most biochemical studies lack an examination of the whole reproductive cycle, in particular the spawning process. We here studied the biochemical changes and determined the energy strategy along reproduction in femaleO. vulgaris, and found that proteins were the main energy reserve, primarily located in the body muscle when sexually maturing and decreasing during breeding. Lipids were also an important source of energy in the ovary and digestive gland and decreased during breeding too. By contrast, glycogen had a minor contribution to the energy content and was the unique compound that increased in spawning and post-spawning females. Additionally, the most abundant fatty acids (FA) in all tissues were 16:0, 18:0, 20:1n9, 20:4n6 (ARA), 20:5n3 (EPA) and 22:6n3 (DHA), with a clear predominance of long-chain polyunsaturated FA. The FA profile of mature ovaries was compared with other life stages finding similitudes with eggs, hatchlings and juveniles but considerable differences with paralarvae which showed higher DHA/ARA and EPA/ARA ratios. Therefore, we found important biochemical changes along the reproductive cycle that determined the energetic signature in each tissue, though no significant energy trade-offs between tissues were found, suggesting that, on the one hand, femaleO. vulgarisobtained energy directly from food accumulated simultaneously in the somatic and reproductive tissues during sexual maturation. However, an energy reallocation from somatic to reproductive growth would occur once vitellogenesis has started, so that the rate at which body growths would decrease in favor of ovary growth. On the other hand, during breeding, a general decrease in the energy content occurred in all tissues, so that the ovary would be responsible for the spawning success, whereas muscle tissues and digestive gland would independently supply the energy needed for the body maintenance safeguarding the female survival needed for the maternal care.</t>
  </si>
  <si>
    <t>[Sieiro, Pilar] Univ Vigo, Doctoral Program Do MAR, Campus Mar, Vigo, Spain; [Otero, Jaime] CSIC, Inst Invest Marinas, Dept Oceanog, Vigo, Spain; [Aubourg, Santiago P.] CSIC, Inst Invest Marinas, Dept Tecnol Alimentos, Vigo, Spain</t>
  </si>
  <si>
    <t>Universidade de Vigo; Consejo Superior de Investigaciones Cientificas (CSIC); CSIC - Instituto de Investigaciones Marinas (IIM); Consejo Superior de Investigaciones Cientificas (CSIC); CSIC - Instituto de Investigaciones Marinas (IIM)</t>
  </si>
  <si>
    <t>Sieiro, P (corresponding author), Univ Vigo, Doctoral Program Do MAR, Campus Mar, Vigo, Spain.</t>
  </si>
  <si>
    <t>msieiro@uvigo.es</t>
  </si>
  <si>
    <t>Comision Interministerial de Ciencia y Tecnologia (CICYT, Spain) [VEM 2003-20010]; Xunta de Galicia [PGIDIT04PXIC40207PN]; doctoral grant of Universidade de Vigo; Departamento de Postgrado y Especializacion (CSIC)</t>
  </si>
  <si>
    <t>Comision Interministerial de Ciencia y Tecnologia (CICYT, Spain)(Consejo Interinstitucional de Ciencia y Tecnologia (CICYT)); Xunta de Galicia(Xunta de Galicia); doctoral grant of Universidade de Vigo; Departamento de Postgrado y Especializacion (CSIC)</t>
  </si>
  <si>
    <t>This work was funded by the Comision Interministerial de Ciencia y Tecnologia (CICYT, Spain) (Project VEM 2003-20010) and by Xunta de Galicia (PGIDIT04PXIC40207PN). PS was supported by a doctoral grant of Universidade de Vigo and a fellowship of Departamento de Postgrado y Especializacion (CSIC).</t>
  </si>
  <si>
    <t>10.3389/fphys.2020.00760</t>
  </si>
  <si>
    <t>WOS:000556444700001</t>
  </si>
  <si>
    <t>de la Serrana, DG; Pérez, M; Nande, M; Hernández-Urcera, J; Pérez, E; Coll-Lladó, C; Hollenbeck, C</t>
  </si>
  <si>
    <t>Garcia de la Serrana, D.; Perez, M.; Nande, M.; Hernandez-Urcera, J.; Perez, E.; Coll-Llado, C.; Hollenbeck, C.</t>
  </si>
  <si>
    <t>Regulation of growth-related genes by nutrition in paralarvae of the common octopus (Octopus vulgaris)</t>
  </si>
  <si>
    <t>GENE</t>
  </si>
  <si>
    <t>Octopus; Transcriptome; mtor-L; hsp9O-L; Growth; Nutrition; Paralarvae</t>
  </si>
  <si>
    <t>SEPIA-OFFICINALIS MOLLUSCA; MYTILUS-TROSSULUS MOLLUSCA; MUSCLE DEVELOPMENT; DIFFERENTIATION; EVOLUTION; ARTEMIA; REGENERATION; EXPRESSION; MYOGENESIS; HOMOLOG</t>
  </si>
  <si>
    <t>The common octopus (Octopus vulgaris) is a species of great interest to the aquaculture industry. However, the high mortalities registered during different phases of the octopus lifecycle, particularly the paralarvae stage, present a challenge for commercial aquaculture. Improvement of diet formulation is seen as one way to reduce mortality and improve growth. Molecular growth-markers could help to improve rearing protocols and increase survival and growth performance; therefore, over a hundred orthologous genes related to protein balance and muscle growth in vertebrates were identified for the common octopus and their suitability as molecular markers for growth in octopus paralarvae explored. We successfully amplified 14 of those genes and studied their transcription in paralarvae either fed with artemia, artemia + zoea diets or submitted to a short fasting-refeeding procedure. Paralarvae fed with artemia + zoea had higher growth rates compared to those fed only with artemia, as well as a significant increase in octopus mtor (mtor-L) and hsp90 (hsp90-L) transcription, with both genes also up-regulated during refeeding. Our results suggest that at least mtor-L and hsp90-L are likely linked to somatic growth in octopus paralarvae. Conversely, ckip1-L, crk-L, src-L and srf-L had expression patterns that did not match to periods of growth as would be expected based on similar studies in vertebrates, indicating that further research is needed to understand their function during growth and in a muscle specific context.</t>
  </si>
  <si>
    <t>[Garcia de la Serrana, D.] Univ Barcelona, Fac Biol, Dept Cell Biol Physiol &amp; Immunol, Barcelona, Spain; [Garcia de la Serrana, D.; Coll-Llado, C.; Hollenbeck, C.] Univ St Andrews, Sch Biol, Scottish Oceans Inst, St Andrews, Fife, Scotland; [Perez, M.; Nande, M.; Hernandez-Urcera, J.; Perez, E.] AQUACOV Ctr Oceanog Vigo, Inst Espanol Oceanog, Vigo, Spain; [Nande, M.] CIMAR CIIMAR Interdisciplinary Ctr Marine &amp; Envir, Av Gen Norton de Matos S-N, Matosinhos 4450208, Portugal; [Hernandez-Urcera, J.] Inst Invest Marinas CSIC, Dept Ecol &amp; Marine Resources, Vigo, Spain</t>
  </si>
  <si>
    <t>University of Barcelona; University of St Andrews; Spanish Institute of Oceanography; Universidade do Porto; Consejo Superior de Investigaciones Cientificas (CSIC); CSIC - Instituto de Investigaciones Marinas (IIM)</t>
  </si>
  <si>
    <t>de la Serrana, DG (corresponding author), Univ Barcelona, Fac Biol, Dept Cell Biol Physiol &amp; Immunol, Barcelona, Spain.</t>
  </si>
  <si>
    <t>garciadelaserrana@ub.edu</t>
  </si>
  <si>
    <t>European Union under grant project AQUAEXCEL2020 [652831, TNA AE050063-Octogrowth]; Juan de la Cierva's post-doc research grant - Spanish Ministry of Science, Innovation and Universities [FJCI-2016-30990]</t>
  </si>
  <si>
    <t>European Union under grant project AQUAEXCEL2020; Juan de la Cierva's post-doc research grant - Spanish Ministry of Science, Innovation and Universities</t>
  </si>
  <si>
    <t>This work has been initiated through a Short Term Scientific Mission of the COST Action FA1301 'A network for improvement of cephalopod welfare and husbandry in research, aquaculture and fisheries (CephsInAction)' granted to JHU. This work has been carried out with financial support from the European Union under grant project AQUAEXCEL2020 (652831, TNA AE050063-Octogrowth) to DGS and MP. The experiments conducted in this manuscript are approved by the Ethics Committee of AQUAEXCEL2020 TNA. DGS is a Serra Hunter Fellow at the University of Barcelona. JHU is supported by a Juan de la Cierva's post-doc research grant (#FJCI-2016-30990) funded by the Spanish Ministry of Science, Innovation and Universities. This publication reflects the views only of the authors, and the European Commission cannot be held responsible for any use which may be made of the information.</t>
  </si>
  <si>
    <t>10.1016/j.gene.2020.144670</t>
  </si>
  <si>
    <t>WOS:000530712100010</t>
  </si>
  <si>
    <t>Di Lorenzo, M; Vizzini, S; Signa, G; Andolina, C; Palo, GB; Gristina, M; Mazzoldi, C; Colloca, F</t>
  </si>
  <si>
    <t>Di Lorenzo, Manfredi; Vizzini, Salvatrice; Signa, Geraldina; Andolina, Cristina; Palo, Gabriele Boscolo; Gristina, Michele; Mazzoldi, Carlotta; Colloca, Francesco</t>
  </si>
  <si>
    <t>Ontogenetic trophic segregation between two threatened smooth-hound sharks in the Central Mediterranean Sea</t>
  </si>
  <si>
    <t>MUSTELUS-MUSTELUS LINNAEUS; ELASMOBRANCHII CARCHARHINIFORMES TRIAKIDAE; 1758 CHONDRICHTHYES TRIAKIDAE; DIET COMPOSITION; FEEDING-HABITS; REPRODUCTIVE-BIOLOGY; PUNCTULATUS RISSO; LIPID EXTRACTION; PREDATORY SHARKS; FISH ASSEMBLAGES</t>
  </si>
  <si>
    <t>Elasmobranchs are among the species most threatened by overfishing and a large body of evidence reports their decline around the world. As they are large predators occupying the highest levels of marine food webs, their removal can alter the trophic web dynamic through predatory release effects and trophic cascade. Suitable management of threatened shark species requires a good understanding of their behaviour and feeding ecology. In this study we provide one of the first assessments of the trophic ecology of the vulnerable smooth-hounds Mustelus mustelus and M. punctulatus in the Central Mediterranean Sea, based on stomach contents and stable isotope analyses. Ontogenetic diet changes were addressed by comparing the feeding habits of three groups of individuals: juveniles, maturing and adults. Our results highlighted that the two species share a similar diet based mostly on the consumption of benthic crustaceans (e.g. hermit crabs). Their trophic level increases during ontogeny, with adults increasing their consumption of large-sized crustaceans (e.g. Calappa granulata, Palinurus elephas), cephalopods (e.g. Octopus vulgaris) and fish (e.g. Trachurus trachurus). Our results provide also evidence of ontogenetic shifts in diet for both species showing a progressive reduction of interspecific trophic overlap during growth. The results of this study contribute to improve the current knowledge on the trophic ecology of these two threatened sharks in the Strait of Sicily, thus providing a better understanding of their role in the food web.</t>
  </si>
  <si>
    <t>[Di Lorenzo, Manfredi] Natl Res Council IRBIM CNR, Inst Biol Resources &amp; Marine Biotechnol, Via Luigi Vaccara 61, I-91026 Mazara Del Vallo, TP, Italy; [Vizzini, Salvatrice; Signa, Geraldina; Andolina, Cristina] Natl Interuniv Consortium Marine Sci, CoNISMa, Piazzale Flaminio 9, I-00196 Rome, Italy; [Vizzini, Salvatrice; Signa, Geraldina; Andolina, Cristina] Univ Palermo, Dept Earth &amp; Marine Sci, Via Archirafi 18, I-90123 Palermo, Italy; [Palo, Gabriele Boscolo; Mazzoldi, Carlotta] Univ Padua, Dept Biol, Via Ugo Bassi 58-B, I-35131 Padua, Italy; [Gristina, Michele] Natl Res Council IAS CNR, Inst Anthrop Impacts &amp; Sustainabil Marine Environ, Via G da Verrazzano 17, I-91014 Castellammare Del Golfo, TP, Italy; [Colloca, Francesco] Integrat Marine Ecol Dept, Anton Dohrn Zool Stn, Via Po 25, I-00198 Rome, Italy; [Colloca, Francesco] Sapienza Univ Rome, Dept Biol &amp; Biotechnol Charles Darwin, Rome, Italy</t>
  </si>
  <si>
    <t>Consiglio Nazionale delle Ricerche (CNR); Istituto per le Risorse Biologiche Biotecnologie Marine (IRBIM-CNR); CoNISMa; University of Palermo; University of Padua; Consiglio Nazionale delle Ricerche (CNR); Istituto per lo Studio degli Impatti Antropici Sostenibilita in Ambiente Marino (IAS-CNR); Sapienza University Rome</t>
  </si>
  <si>
    <t>Di Lorenzo, M (corresponding author), Natl Res Council IRBIM CNR, Inst Biol Resources &amp; Marine Biotechnol, Via Luigi Vaccara 61, I-91026 Mazara Del Vallo, TP, Italy.</t>
  </si>
  <si>
    <t>manfredi.dilorenzo@libero.it</t>
  </si>
  <si>
    <t>RitMare Project (Italian Project); Italian National Programme on Halieutic Data Collection (PNRDA)</t>
  </si>
  <si>
    <t>The authors are grateful to E.A. Aleo for help with laboratory analyses, Licia Finotto for help with laboratory phase and Michele Luca Geraci, Antonino Titone and Daniela Massi for taxonomical determination of some prey. The authors would like to thank the Responsible Editor, Dr. Robbin Abbey-Lee, and the two anonymous referees for their constructive comments and their kind help in improving the manuscript. The project was funded by RitMare Project (Italian Project) and Italian National Programme on Halieutic Data Collection (PNRDA). We thank Dr. Katie E. Hogg (https://katehogg.org) for her assistance editing the English of the Manuscript. Finally, we are very grateful to all of the fishermen who helped us collect the Mustelus specimens.</t>
  </si>
  <si>
    <t>10.1038/s41598-020-67858-x</t>
  </si>
  <si>
    <t>WOS:000546538300009</t>
  </si>
  <si>
    <t>Dan, S; Takasugi, A; Iwasaki, H; Shibasaki, S; Yamashita, K; Hamasaki, K</t>
  </si>
  <si>
    <t>Dan, Shigeki; Takasugi, Arata; Iwasaki, Hiraku; Shibasaki, Shodai; Yamashita, Kazuhiro; Hamasaki, Katsuyuki</t>
  </si>
  <si>
    <t>Flocculation of Artemia induced by East Asian common Octopus octopus sinensis paralarvae under culture conditions</t>
  </si>
  <si>
    <t>Artemia; Common octopus paralarvae; External digestion; Flocculation; Paralarval culture</t>
  </si>
  <si>
    <t>FATTY-ACID-COMPOSITION; VULGARIS CUVIER; CEPHALOPODA OCTOPODIDAE; EXTERNAL DIGESTION; SWIMMING CRAB; PREY DENSITY; SURVIVAL; ZOOPLANKTON; MORPHOLOGY; CRUSTACEAN</t>
  </si>
  <si>
    <t>Anemia are potential food organisms for the mass culture of common octopus paralarvae but cause poor paralarval growth and mortality. To understand problems arising from Anemia use, we focused on Anemia flocculation in paralarval culture tanks; Artemia get caught up with each other, exhibit disrupted swimming, are deposited on the tank bottom and eventually die. To clarify whether paralarvae induce the flocculation of food organisms or not, we cultured newly hatched Anemia nauplii, 3-day-old metanauplii and decapod crustacean zoeae with or without paralarvae at different growth stages (weight). Flocculation occurred only when Anemia were cultured with paralarvae; metanauplii had a higher susceptibility for flocculation than nauplii. Flocculated Anemia proportion increased with increasing paralarval weight. Scanning electron microscopy revealed that flocculated metanauplii had deformed setules on their setae, with hook-shaped tips and adhesion of neighbouring tips, suggesting that flocculation may occur via a mechanism similar to the 'hook-and-loop fastener'. As octopus paralarvae exhibit external digestion, digestive enzymes secreted by paralarvae may deform Anemia setules and result in flocculation. As flocculation did not occur when metanauplii were cultured in water in which paralarvae were cultured and then removed, causative enzymes were probably rapidly inactivated after secretion.</t>
  </si>
  <si>
    <t>[Dan, Shigeki; Takasugi, Arata; Iwasaki, Hiraku; Shibasaki, Shodai; Yamashita, Kazuhiro; Hamasaki, Katsuyuki] Tokyo Univ Marine Sci &amp; Technol, Dept Marine Biosci, Minato Ku, Tokyo 1088477, Japan; [Takasugi, Arata] Tokyo Metropolitan Isl Area Res &amp; Dev Ctr Agr For, Hachijo Branch, Tokyo 1001511, Japan</t>
  </si>
  <si>
    <t>JSPS KAKENHI [JP17K07928]</t>
  </si>
  <si>
    <t>JSPS KAKENHI(Ministry of Education, Culture, Sports, Science and Technology, Japan (MEXT)Japan Society for the Promotion of ScienceGrants-in-Aid for Scientific Research (KAKENHI))</t>
  </si>
  <si>
    <t>This study was funded by JSPS KAKENHI Grant Number JP17K07928 to SD.</t>
  </si>
  <si>
    <t>10.1016/j.aqrep.2020.100330</t>
  </si>
  <si>
    <t>WOS:000544610700004</t>
  </si>
  <si>
    <t>Araújo, J; Matias, AC; Pousao-Ferreira, P; Soares, F</t>
  </si>
  <si>
    <t>Araujo, Joao; Matias, Ana Catarina; Pousao-Ferreira, Pedro; Soares, Florbela</t>
  </si>
  <si>
    <t>Development of a method for live octopus (Octopus vulgaris) transportation for long distance at high densities</t>
  </si>
  <si>
    <t>AQUACULTURE RESEARCH</t>
  </si>
  <si>
    <t>ammonia; dopamine; HSP 70; live transportation; octopus; stress</t>
  </si>
  <si>
    <t>AMMONIA TOXICITY; STRESS; PROTEINS; CEPHALOPODA; TEMPERATURE; PARALARVAE; EXPRESSION; DISORDERS</t>
  </si>
  <si>
    <t>The development of new octopus-based products with a growing economic value ensures the commercial interest of this species, making live octopus export an activity of great interest. The aim of this study was to develop a method for long-distance transportation of live octopus at high densities. The system was composed by 220-L tanks with cooling and aeration, where the animals were kept separated from each others. The water temperature was maintained at 10 degrees C, after a decreasing of 1 degrees C/hr. Live octopus transportation was tested for 48 hr at two densities: 50 kg/m(3)and 100 kg/m(3). During this period, water parameters were monitored. Stress response was evaluated through the analysis of haemolymph, muscle and brain tissues. No mortality was registered after 48 hr for both treatments. In all trials, water quality remained within the normal limits in both densities; there was, however, a significative increase of ammonia levels in the water. Ammonia, dopamine and Hsp70 levels were analysed in the beginning and at the end of the experiment for both densities; however, no significant differences were found among them. In general, this system seems to be a viable solution for live octopus 48-hr transportation at a density of 100 kg/m(3).</t>
  </si>
  <si>
    <t>[Araujo, Joao; Matias, Ana Catarina; Pousao-Ferreira, Pedro; Soares, Florbela] IPMA Inst Portugues Mar &amp; Atmosfera, EPPO Estacao Piloto Piscicultura Olhao, Ave Parque Nat Ria Formosa, P-8700305 Olhao, Portugal</t>
  </si>
  <si>
    <t>Instituto Portugues do Mar e da Atmosfera</t>
  </si>
  <si>
    <t>Araújo, J (corresponding author), IPMA Inst Portugues Mar &amp; Atmosfera, EPPO Estacao Piloto Piscicultura Olhao, Ave Parque Nat Ria Formosa, P-8700305 Olhao, Portugal.</t>
  </si>
  <si>
    <t>joao.araujo@ipma.pt</t>
  </si>
  <si>
    <t>[Mar2020 16-02-01-FMP-0066]; [27506]</t>
  </si>
  <si>
    <t>;</t>
  </si>
  <si>
    <t>This study was supported by the projects DIVERSIAQUA (Mar2020 16-02-01-FMP-0066) and AQUATRANSFER (27506). Thanks for the ARMALGARVE Fishermen Association and Dr. Martim Gordo for the collaboration.</t>
  </si>
  <si>
    <t>10.1111/are.14725</t>
  </si>
  <si>
    <t>JUN 2020</t>
  </si>
  <si>
    <t>WOS:000539827400001</t>
  </si>
  <si>
    <t>Nezhukumatathil, A</t>
  </si>
  <si>
    <t>Nezhukumatathil, Aimee</t>
  </si>
  <si>
    <t>OCTOPUS Octopus vulgaris</t>
  </si>
  <si>
    <t>GEORGIA REVIEW</t>
  </si>
  <si>
    <t>[Nezhukumatathil, Aimee] Univ Mississippi, MFA Program, English &amp; Creat Writing, University, MS 38677 USA</t>
  </si>
  <si>
    <t>University of Mississippi</t>
  </si>
  <si>
    <t>Nezhukumatathil, A (corresponding author), Univ Mississippi, MFA Program, English &amp; Creat Writing, University, MS 38677 USA.</t>
  </si>
  <si>
    <t>SUM</t>
  </si>
  <si>
    <t>Literary Reviews</t>
  </si>
  <si>
    <t>Literature</t>
  </si>
  <si>
    <t>WOS:000540319700022</t>
  </si>
  <si>
    <t>Avendaño, O; Hernández-Flores, A; Velázquez-Abunader, I; Fernández-Jardón, C; Cuevas-Jimenez, A; Guerra, A</t>
  </si>
  <si>
    <t>Avendano, Otilio; Hernandez-Flores, Alvaro; Velazquez-Abunader, Ivan; Fernandez-Jardon, Carlos; Cuevas-Jimenez, Alfonso; Guerra, Angel</t>
  </si>
  <si>
    <t>Potential biomass and distribution of octopus in the eastern part of the Campeche Bank (Yucatan, Mexico)</t>
  </si>
  <si>
    <t>biomass; distribution pattern; Octopus maya; Octopus vulgaris Type II; Campeche Bank; Yucatan Peninsula; Mexico</t>
  </si>
  <si>
    <t>SEASONAL VARIABILITY; CONTINENTAL-SHELF; MANAGEMENT; MAYA; FISHERIES; TEMPERATURE; INSULARIS; PENINSULA; TRANSPORT; ABUNDANCE</t>
  </si>
  <si>
    <t>The octopus fishery on the Campeche Bank (Yucatan, Mexico) is considered the third largest in the world. In Yucatan, two fleets target this resource: an artisanal fleet and a semi-industrial fleet. The artisanal fleet only catches Octopus maya, while the semi-industrial fleet catches two species, O. maya and O. vulgaris Type II, because it operates at deeper waters (&gt;30 m). Since there is no information on the abundance of O. vidgaris Type II, management is based only on O. maya. In order to generate information about the abundance of this species, four fishing research cruises were carried out in the northeastern area of the continental shelf off the Yucatan Peninsula. Four methods (a stratified random method, a swept area, geostatistics and a weighted swept area) were applied and compared to determine the instantaneous abundance and biomass of both species in the study area. The lowest potential biomass was calculated with the geostatistical method, with values between 18.5% and 36.7% lower than the other three methods. O. vulgaris Type 11 showed the lowest biomass (37.8 +/- 3.36 t) during May and July and the highest (189.56 +/- 11.6 t) in December. Our findings revealed that the total abundance of both species was similar in the study area, with a geographic overlap whose amplitude changed throughout the year according to the geographic position: O. maya dominated at approximately 88 degrees W, while O. vulgaris Type 11 dominated towards the southeast at 87 degrees W.</t>
  </si>
  <si>
    <t>[Avendano, Otilio; Velazquez-Abunader, Ivan] IPN, Ctr Invest &amp; Estudios Avanzados, Merida 97310, Yucatan, Mexico; [Avendano, Otilio] Univ Ciencias &amp; Artes Chiapas, Tonala 30500, Chiapas, Mexico; [Hernandez-Flores, Alvaro; Cuevas-Jimenez, Alfonso] Univ Marista Merida, Merida 97300, Yucatan, Mexico; [Fernandez-Jardon, Carlos] Univ Vigo, Fac Ciencias Econom &amp; Empresariales, Vigo 36310, Spain; [Guerra, Angel] CSIC, Inst Invest Marinas, ECOBIOMAR, Vigo 36208, Spain</t>
  </si>
  <si>
    <t>Instituto Politecnico Nacional - Mexico; Universidade de Vigo; Consejo Superior de Investigaciones Cientificas (CSIC); CSIC - Instituto de Investigaciones Marinas (IIM)</t>
  </si>
  <si>
    <t>Velázquez-Abunader, I (corresponding author), IPN, Ctr Invest &amp; Estudios Avanzados, Merida 97310, Yucatan, Mexico.</t>
  </si>
  <si>
    <t>otilio.avendano@unicach.mx; ahernandez@marista.edu.mx; jvelazquez@cinvestav.mx; cjardon@uvigo.es; acuevas@marista.edu.mx; angelguerra@iim.csic.es</t>
  </si>
  <si>
    <t>Consejo Nacional de Ciencia y Tecnologia [237057]; National Health and Medical Research Council (NHMRC) [237057] Funding Source: National Health and Medical Research Council (NHMRC)</t>
  </si>
  <si>
    <t>Consejo Nacional de Ciencia y Tecnologia(Consejo Nacional de Ciencia y Tecnologia (CONACyT)); National Health and Medical Research Council (NHMRC)(National Health &amp; Medical Research Council (NHMRC) of Australia)</t>
  </si>
  <si>
    <t>The results of this study were obtained as part of the project Distribucion, reproduccion, biomasa y patrones de movimiento del pulpo comun Octopus vulgaris Cuvier, 1797 en la costa de Yucatan, with financial support from the Consejo Nacional de Ciencia y Tecnologia (grant number 237057).</t>
  </si>
  <si>
    <t>10.3989/scimar.05007.01A</t>
  </si>
  <si>
    <t>WOS:000539067100001</t>
  </si>
  <si>
    <t>Tapia-Vasquez, AE; Ezquerra-Brauer, JM; Márquez-Ríos, E; Ramírez-Suárez, JC; Huerta-Ocampo, JA; Santacruz-Ortega, H; Torres-Arreola, W</t>
  </si>
  <si>
    <t>Tapia-Vasquez, Angel Edgardo; Ezquerra-Brauer, Josafat Marina; Marquez-Rios, Enrique; Ramirez-Suarez, Juan Carlos; Huerta-Ocampo, Jose angel; Santacruz-Ortega, Hisila; Torres-Arreola, Wilfrido</t>
  </si>
  <si>
    <t>Proteomic identification and physicochemical characterisation of paramyosin and collagen from octopus (Octopus vulgaris) and jumbo squid (Dosidicus gigas)</t>
  </si>
  <si>
    <t>INTERNATIONAL JOURNAL OF FOOD SCIENCE AND TECHNOLOGY</t>
  </si>
  <si>
    <t>Cephalopod; collagen type II; histology; paramyosin; proteomic identification</t>
  </si>
  <si>
    <t>LYSYL OXIDASE ACTIVITY; CONFORMATIONAL-CHANGES; FUNCTIONAL-EVALUATION; PROTEIN-CONCENTRATE; MUSCLE; MANTLE; ACID; DISSOLUTION; SKIN</t>
  </si>
  <si>
    <t>To perform improvements in food science, it is fundamental to understand the physicochemical properties of proteins since their interaction with other macromolecules plays an essential role in food systems. Collagen and paramyosin help in the maintenance of the matrix structure cells, the textural behaviour and the technical functionality of the protein concentrates; because of this, their identification and characterisation are necessary. Cephalopods species have shown differences in the distribution of its muscle fibres. The amino acid profile of jumbo squid showed a high content of glycine and hydroxyproline, while octopus showed a high content of acidic amino acids. The thermal profile of jumbo squid showed an endothermic transition at 117 degrees C, which octopus did not present. Moreover, the proteomic identification confirms the identity of paramyosin with 33% coverage to paramyosin from Dosidicus gigas and a 4% coverage to collagen type II from Sepia pharaonis on octopus and jumbo squid, respectively.</t>
  </si>
  <si>
    <t>[Tapia-Vasquez, Angel Edgardo; Ezquerra-Brauer, Josafat Marina; Marquez-Rios, Enrique; Torres-Arreola, Wilfrido] Univ Sonora, Dept Invest &amp; Posgrad Alimentos, Blvd Luis Encinas &amp; Rosales S-N,Apdo Postal 1658, Hermosillo 83000, Sonora, Mexico; [Ramirez-Suarez, Juan Carlos] Ctr Invest Alimentac &amp; Desarrollo AC, Carretera Gustavo Enrique Astiazaran 46, Hermosillo 83304, Sonora, Mexico; [Huerta-Ocampo, Jose angel] CONACYT, Ctr Invest Alimentac &amp; Desarrollo AC, Carretera Gustavo Enrique Astiazaran 46, Hermosillo 83304, Sonora, Mexico; [Santacruz-Ortega, Hisila] Univ Sonora, Dept Invest Polimeros &amp; Mat, Blvd Luis Encinas Rosales S-N, Hermosillo 83000, Sonora, Mexico</t>
  </si>
  <si>
    <t>Universidad de Sonora; CIAD - Centro de Investigacion en Alimentacion y Desarrollo; Consejo Nacional de Ciencia y Tecnologia (CONACyT); CIAD - Centro de Investigacion en Alimentacion y Desarrollo; Universidad de Sonora</t>
  </si>
  <si>
    <t>Torres-Arreola, W (corresponding author), Univ Sonora, Dept Invest &amp; Posgrad Alimentos, Blvd Luis Encinas &amp; Rosales S-N,Apdo Postal 1658, Hermosillo 83000, Sonora, Mexico.</t>
  </si>
  <si>
    <t>We thank Consejo Nacional de Ciencia y Tecnologia (CONACyT) for funding this work through project 180214 and also for the scholarship awarded to Angel Edgardo Tapia-Vasquez (Grant Number 711844).</t>
  </si>
  <si>
    <t>10.1111/ijfs.14587</t>
  </si>
  <si>
    <t>APR 2020</t>
  </si>
  <si>
    <t>WOS:000528481100001</t>
  </si>
  <si>
    <t>Deryckere, A; Styfhals, R; Vidal, EAG; Almansa, E; Seuntjens, E</t>
  </si>
  <si>
    <t>Deryckere, Astrid; Styfhals, Ruth; Vidal, Erica A. G.; Almansa, Eduardo; Seuntjens, Eve</t>
  </si>
  <si>
    <t>A practical staging atlas to study embryonic development of Octopus vulgaris under controlled laboratory conditions</t>
  </si>
  <si>
    <t>BMC DEVELOPMENTAL BIOLOGY</t>
  </si>
  <si>
    <t>Cephalopod; Octopus; Embryo; Development; Atlas; Standalone; Light sheet fluorescence microscopy</t>
  </si>
  <si>
    <t>SEPIA-OFFICINALIS; EARLY-LIFE; EGG; CEPHALOPODS; MOLLUSCA; BIOLOGY; CARE</t>
  </si>
  <si>
    <t>Background Octopus vulgaris has been an iconic cephalopod species for neurobiology research as well as for cephalopod aquaculture. It is one of the most intelligent and well-studied invertebrates, possessing both long- and short-term memory and the striking ability to perform complex cognitive tasks. Nevertheless, how the common octopus developed these uncommon features remains enigmatic. O. vulgaris females spawn thousands of small eggs and remain with their clutch during their entire development, cleaning, venting and protecting the eggs. In fact, eggs incubated without females usually do not develop normally, mainly due to biological contamination (fungi, bacteria, etc.). This high level of parental care might have hampered laboratory research on the embryonic development of this intriguing cephalopod. Results Here, we present a completely parameter-controlled artificial seawater standalone egg incubation system that replaces maternal care and allows successful embryonic development of a small-egged octopus species until hatching in a laboratory environment. We also provide a practical and detailed staging atlas based on bright-field and light sheet fluorescence microscopy imaging for precise monitoring of embryonic development. The atlas has a comparative section to benchmark stages to the different scales published by Naef (1928), Arnold (1965) and Boletzky (2016). Finally, we provide methods to monitor health and wellbeing of embryos during organogenesis. Conclusion Besides introducing the study of O. vulgaris embryonic development to a wider community, this work can be a high-quality reference for comparative evolutionary developmental biology.</t>
  </si>
  <si>
    <t>[Deryckere, Astrid; Styfhals, Ruth; Seuntjens, Eve] Katholieke Univ Leuven, Dev Neurobiol Lab, Dept Biol, Leuven, Belgium; [Styfhals, Ruth] Stn Zool Anton Dohrn, Dept Biol &amp; Evolut Marine Organisms, Naples, Italy; [Vidal, Erica A. G.] Univ Parana, Ctr Marine Studies, Curitiba, Parana, Brazil; [Almansa, Eduardo] IEO, Santa Cruz De Tenerife, Spain</t>
  </si>
  <si>
    <t>KU Leuven; Stazione Zoologica Anton Dohrn</t>
  </si>
  <si>
    <t>Seuntjens, E (corresponding author), Katholieke Univ Leuven, Dev Neurobiol Lab, Dept Biol, Leuven, Belgium.</t>
  </si>
  <si>
    <t>Fonds Wetenschappelijk Onderzoek (FWO) Belgium [1S19517N]; Stazione Zoologica Anton Dohrn; KU Leuven [C14/16/049]; Spanish government (OCTOMICs project) [AGL2017-89475-C2-2-R]; Brazilian National Research Council-CNPq [312331/2018-1, 426797/2018-3]; FWO [G0B5916N, G0C2618N]; EAG</t>
  </si>
  <si>
    <t>Fonds Wetenschappelijk Onderzoek (FWO) Belgium(FWO); Stazione Zoologica Anton Dohrn; KU Leuven(KU Leuven); Spanish government (OCTOMICs project); Brazilian National Research Council-CNPq(Conselho Nacional de Desenvolvimento Cientifico e Tecnologico (CNPQ)); FWO(FWO); EAG</t>
  </si>
  <si>
    <t>A. Deryckere was supported by a SB Ph.D. fellowship of Fonds Wetenschappelijk Onderzoek (FWO) Belgium (Project No. 1S19517N) and R. Styfhals was supported by a PhD fellowship from Stazione Zoologica Anton Dohrn and matching funding from KU Leuven. E. Almansa was supported by the Spanish government (OCTOMICs project, AGL2017-89475-C2-2-R) and EAG. Vidal was supported by the Brazilian National Research Council-CNPq (Pro. 312331/2018-1 and 426797/2018-3). E. Seuntjens was supported by funding of the FWO (G0B5916N and G0C2618N) and the KU Leuven (C14/16/049). The funding bodies had no direct role in the design of the study and collection, analysis, and interpretation of data and in writing the manuscript. The funding bodies supported the people that did the tasks as explained in authors' contributions.</t>
  </si>
  <si>
    <t>APR 16</t>
  </si>
  <si>
    <t>10.1186/s12861-020-00212-6</t>
  </si>
  <si>
    <t>Developmental Biology</t>
  </si>
  <si>
    <t>WOS:000528752200001</t>
  </si>
  <si>
    <t>Laothaweerungsawat, N; Neimkhum, W; Anuchapreeda, S; Sirithunyalug, J; Chaiyana, W</t>
  </si>
  <si>
    <t>Laothaweerungsawat, Natnaree; Neimkhum, Waranya; Anuchapreeda, Songyot; Sirithunyalug, Jakkapan; Chaiyana, Wantida</t>
  </si>
  <si>
    <t>Transdermal delivery enhancement of carvacrol from Origanum vulgare L. essential oil by microemulsion</t>
  </si>
  <si>
    <t>INTERNATIONAL JOURNAL OF PHARMACEUTICS</t>
  </si>
  <si>
    <t>Carvacrol; Origanum vulgare; Microemulsion; Transdermal delivery systems; HET-CAM; Analgesic; Irritation</t>
  </si>
  <si>
    <t>IN-VITRO PERMEATION; SSP HIRTUM; OREGANO; SKIN; STABILITY; INHIBITION; TERPENES; BEHAVIOR; SYSTEMS; EYE</t>
  </si>
  <si>
    <t>Carvacrol has been reported for analgesic and anti-inflammatory activity by cyclooxygenase inhibition but it could induce gastrointestinal toxicity because of its non-selective inhibition. Therefore, the present study aimed to develop transdermal microemulsion from Origanum vulgare essential oil to deliver carvacrol into and through the skin which would overwhelm the gastrointestinal problems. O. vulgare essential oil was extracted by hydrodistillation and its carvacrol content was determined using high performance liquid chromatography. Pseudoternary phase diagrams were constructed using water dilution method to investigate the suitable microemulsion components. Microemulsions were then characterized for external appearance, particle size, size distribution, zeta potential, electrical conductivity, refractive index, viscosity, transmittance, pH, and stability. Additionally, the irritation property of microemulsions were investigated by hen's egg on the chorioallantoic membrane assay. The release profile, percutaneous absorption, and skin retention were investigated using dialysis bag and Franz diffusion cell, respectively. The interleukin-6 (IL-6) and tumor necrosis factor-alpha (TNF-alpha) were investigated using the enzyme-linked immunosorbent assay. The results remarked that carvacrol was a major component of O. vulgare essential oil with high concentration of 83.7%. The most suitable microemulsion (ME 1), composing of 5% w/w O. vulgare essential oil, 25%w/w Tween 60, 25%w/w butylene glycol, and 45% w/w deionized water, had the smallest internal droplet size (179.5 +/- 27.9 nm), the narrowest polydispersity index (0.30 +/- 0.07), the highest transmittance (93.13 +/- 0.04%), and Newtonian flow behavior with low viscosity of 0.30 +/- 0.07 Pas. ME 1 could reduce the irritation effect of O. vulgare essential oil since ME 1 (IS = 3.1 +/- 0.10) exhibited significantly lower irritation effect than its blank formulation (IS = 4.8 +/- 0.02) and O. vulgare oil solution (IS = 5.0 +/- 0.01) (p &lt; 0.05). Furthermore, ME 1 sustain released carvacrol from the formulation, remarkedly deliver more carvacrol through the skin layer (2.6 +/- 2.2%) and significantly retained carvacrol in the skin layer (2.60 +/- 1.25%). Additionally, ME 1 significantly enhanced IL-6 inhibition of O. vulgaris oil and carvacrol (p &lt; 0.05). Therefore, O. vulgaris oil microemulsion was suggested to be used for the transdermal delivery and anti-inflammatory activities enhancement of carvacrol.</t>
  </si>
  <si>
    <t>[Laothaweerungsawat, Natnaree] Chiang Mai Univ, Masters Degree Program Cosmet Sci, Fac Pharm, Chiang Mai 50200, Thailand; [Laothaweerungsawat, Natnaree; Sirithunyalug, Jakkapan; Chaiyana, Wantida] Chiang Mai Univ, Dept Pharmaceut Sci, Fac Pharm, Chiang Mai 50200, Thailand; [Neimkhum, Waranya] Huachiew Chalermprakiet Univ, Fac Pharmaceut Sci, Dept Pharmaceut Technol, Samut Prakan 10250, Thailand; [Anuchapreeda, Songyot] Chiang Mai Univ, Fac Associated Med Sci, Div Clin Microscopy, Dept Med Technol, Chiang Mai 50200, Thailand; [Anuchapreeda, Songyot; Sirithunyalug, Jakkapan; Chaiyana, Wantida] Chiang Mai Univ, Res Ctr Pharmaceut Nanotechnol, Chiang Mai 50200, Thailand</t>
  </si>
  <si>
    <t>Chiang Mai University; Chiang Mai University; Chiang Mai University; Chiang Mai University</t>
  </si>
  <si>
    <t>Chaiyana, W (corresponding author), Chiang Mai Univ, Dept Pharmaceut Sci, Fac Pharm, Chiang Mai 50200, Thailand.</t>
  </si>
  <si>
    <t>wantida.chaiyana@cmu.ac.th</t>
  </si>
  <si>
    <t>Graduate School, Faculty of Pharmacy, Chiang Mai University and Research Center of Pharmaceutical Nanotechnology, Chiang Mai University</t>
  </si>
  <si>
    <t>Graduate School, Faculty of Pharmacy, Chiang Mai University and Research Center of Pharmaceutical Nanotechnology, Chiang Mai University(Chiang Mai University)</t>
  </si>
  <si>
    <t>The authors are grateful for financial support received from the Graduate School, Faculty of Pharmacy, Chiang Mai University and Research Center of Pharmaceutical Nanotechnology, Chiang Mai University.</t>
  </si>
  <si>
    <t>APR 15</t>
  </si>
  <si>
    <t>10.1016/j.ijpharm.2020.119052</t>
  </si>
  <si>
    <t>WOS:000529310300004</t>
  </si>
  <si>
    <t>González-Costa, A; Fernández-Gago, R; Carid, S; Molist, P</t>
  </si>
  <si>
    <t>Gonzalez-Costa, Alba; Fernandez-Gago, Raquel; Carid, Sofia; Molist, Pilar</t>
  </si>
  <si>
    <t>Mucus characterisation in the Octopus vulgaris skin throughout its life cycle</t>
  </si>
  <si>
    <t>ANATOMIA HISTOLOGIA EMBRYOLOGIA</t>
  </si>
  <si>
    <t>epidermis; glycoconjugates; lectins; lubrication; Octopus; protection</t>
  </si>
  <si>
    <t>HISTOCHEMICAL ANALYSIS; HALIOTIS-TUBERCULATA; MORPHOLOGY; GROWTH; CUVIER; CEPHALOPODS; PARALARVAE; EPIDERMIS; WELFARE; ORGANS</t>
  </si>
  <si>
    <t>The development of the epidermis of octopus, Octopus vulgaris, throughout its life cycle was studied by conventional staining and histochemical techniques using lectins. The mantle, the arm and the two parts of the suckers: the infundibulum and the acetabulum were analysed independently. With the exception of the suckers, the general morphology of the epidermis does not vary from the first days post-hatching to adulthood. In general terms, histochemical techniques do not indicate changes in the composition of glycoconjugates of the epidermis main cells, epithelial and secretory cells. The epithelial cells of the mantle and arm show positivity for mannose (ConA+) in their apical portions, indicating the presence of n-glycoproteins that, among other things, provide lubrication to the surface of the body. In the suckers, the apical surface of the infundibulum contains sulphated glycosaminoglycans of the N-acetylglucosamine type that provide adhesive properties. In addition to observing three types of mucocytes, m1 and m2 are characteristic of the mantle and arm, and m3 is found in the suckers. The paralarva epidermis is characterised by the presence of Kolliker's organs whose exact function is unknown. In this study, the absence of staining with alcian blue/periodic acid-Schiff(AB/PAS) prevents the possibility of attributing a secretory function. Nevertheless, the linkage of three lectins (WGA, LEL and GSL-I) in the fascicle of the organ suggests the presence of proteoglycans rich in N-acetylglucosamine that would mainly have a structural role.</t>
  </si>
  <si>
    <t>[Gonzalez-Costa, Alba; Fernandez-Gago, Raquel; Carid, Sofia; Molist, Pilar] Univ Vigo, Dept Funct Biol &amp; Hlth Sci, Vigo 36310, Spain</t>
  </si>
  <si>
    <t>Universidade de Vigo</t>
  </si>
  <si>
    <t>Molist, P (corresponding author), Univ Vigo, Dept Funct Biol &amp; Hlth Sci, Vigo 36310, Spain.</t>
  </si>
  <si>
    <t>pmolist@uvigo.es</t>
  </si>
  <si>
    <t>10.1111/ahe.12554</t>
  </si>
  <si>
    <t>MAR 2020</t>
  </si>
  <si>
    <t>Anatomy &amp; Morphology; Veterinary Sciences</t>
  </si>
  <si>
    <t>WOS:000522679900001</t>
  </si>
  <si>
    <t>Quinteiro, J; Rodríguez-Castro, J; Rey-Méndez, M; González-Henríquez, N</t>
  </si>
  <si>
    <t>Quinteiro, Javier; Rodriguez-Castro, Jorge; Rey-Mendez, Manuel; Gonzalez-Henriquez, Nieves</t>
  </si>
  <si>
    <t>Phylogeography of the insular populations of common octopus, Octopus vulgaris Cuvier, 1797, in the Atlantic Macaronesia</t>
  </si>
  <si>
    <t>PHYLOGENETIC-RELATIONSHIPS; GENETIC-STRUCTURE; DNA; CEPHALOPODA; MOLLUSCA; PACIFIC; GROWTH; OCEAN; OCTOPODIDAE; DIVERGENCE</t>
  </si>
  <si>
    <t>Exploited, understudied populations of the common octopus, Octopus vulgaris Cuvier, 1797, occur in the northeastern Atlantic (NEA) throughout Macaronesia, comprising the Azores, Madeira and Canaries, and also the Cabo Verde archipelago. This octopus species, found from the intertidal to shallow continental-shelf waters, is largely sedentary, and the subject of intense, frequently unregulated fishing effort. We infer connectivity among insular populations of this octopus. Mitochondrial control region and COX1 sequence datasets reveal two highly divergent haplogroups (alpha and beta) at similar frequencies, with opposing clinal distributions along the sampled latitudinal range. Haplogroups have different demographic and phylogeographic patterns, with origins related to the two last glacial maxima. F-ST values suggest a significant differentiation for most pairwise comparisons, including insular and continental samples, from the Galicia and Morocco coasts, with the exception of pairwise comparisons for samples from Madeira and the Canaries populations. Results indicate the existence of genetically differentiated octopus populations throughout the NEA. This emphasizes the importance of regulations by autonomous regional governments of the Azores, Madeira and the Canaries, for appropriate management of insular octopus stocks.</t>
  </si>
  <si>
    <t>[Quinteiro, Javier; Rodriguez-Castro, Jorge; Rey-Mendez, Manuel] Univ Santiago de Compostela, Dept Biochem &amp; Mol Biol, Mol Systemat Lab, La Coruna, Galicia, Spain; [Gonzalez-Henriquez, Nieves] Univ Las Palmas Gran Canaria, Dept Biol, BIOMOL Lab, Las Palmas Gran Canaria, Spain</t>
  </si>
  <si>
    <t>Universidade de Santiago de Compostela; Universidad de Las Palmas de Gran Canaria</t>
  </si>
  <si>
    <t>Quinteiro, J (corresponding author), Univ Santiago de Compostela, Dept Biochem &amp; Mol Biol, Mol Systemat Lab, La Coruna, Galicia, Spain.</t>
  </si>
  <si>
    <t>javier.quinteiro@gmail.com</t>
  </si>
  <si>
    <t>BANCOMAC (European Community Initiative INTERREG IIIB); BANGEN projects (MAC Interreg Territorial Cooperation Programme Madeira, Azores and Canary Islands)</t>
  </si>
  <si>
    <t>This work was supported by the BANCOMAC (European Community Initiative INTERREG IIIB) and BANGEN projects (MAC Interreg Territorial Cooperation Programme Madeira, Azores and Canary Islands). The funders had no role in study design, data collection and analysis, decision to publish, or preparation of the manuscript.</t>
  </si>
  <si>
    <t>e0230294</t>
  </si>
  <si>
    <t>10.1371/journal.pone.0230294</t>
  </si>
  <si>
    <t>WOS:000535302300035</t>
  </si>
  <si>
    <t>Domingues, P; Rosas, C; Sánchez, A; Chimal, ME; Gallardo, P</t>
  </si>
  <si>
    <t>Domingues, Pedro; Rosas, Carlos; Sanchez, Ariadna; Chimal, Maria Eugenia; Gallardo, Pedro</t>
  </si>
  <si>
    <t>Effect of the processing of four marine species on their in vitro digestibility of Octopus vulgaris adults</t>
  </si>
  <si>
    <t>Diets; Digestibility; Digestive gland; Octopus vulgaris; Ph-Stat</t>
  </si>
  <si>
    <t>JUVENILE CUTTLEFISH; ENERGY-BALANCE; GROWTH; MAYA; DIET; SURVIVAL; FOOD; PROTEINASE; CUVIER; FEEDS</t>
  </si>
  <si>
    <t>The determination of in vitro digestibility of acid proteases in the digestive gland (DG) of adult O. vulgaris (&gt; 1.2 kg) was performed, using the flesh of four different prey species (mackerel, Scomber scombrus; green crab, Carcinus maenas; swimming crab, Necora puber; Shortfin squid, Illex coindetii). For each, four processing treatments were applied: (1) frozen, (2) boiled at 100 degrees C for 1 min, (3) lyophilized, and (4) oven dried at 70 degrees C. A pH-Stat method was used to determine in vitro digestibility at pH 3. Results showed that digestibility was higher for lyophilized and frozen flesh, compared to the other treatments involving heating (boiled and oven dried), regardless of the species tested. Also, differences were found between species, within each treatment, with higher digestibility for crab (N. puber) and squid (I. coindetii). Regarding in vitro acid proteases digestibility, which is the most important for O. vulgaris, results indicate that heat treatments close and/or higher than 70 degrees C promoted changes in the flesh that prevented or reduced their assimilation by the DG of O. vulgaris.</t>
  </si>
  <si>
    <t>[Domingues, Pedro] Ctr Oceanog Vigo, Inst Espanol Oceanog, Vigo 36390, Spain; [Rosas, Carlos; Sanchez, Ariadna; Chimal, Maria Eugenia; Gallardo, Pedro] UNAM, Fac Ciencias, Unidad Multidisciplinaria Docencia &amp; Invest, Puerto Abrigo S-N, Hunucma, Yucatan, Mexico</t>
  </si>
  <si>
    <t>Gallardo, P (corresponding author), UNAM, Fac Ciencias, Unidad Multidisciplinaria Docencia &amp; Invest, Puerto Abrigo S-N, Hunucma, Yucatan, Mexico.</t>
  </si>
  <si>
    <t>project OCTOPHYS-Fisiologia de la nutricion y del estres en las primeras fases de vida del pulpo comun (Octopus vulgaris) from the Spanish government; DGAPA-UNAM [PAPIIT IT201117, IN204019]; DGECI-UNAM</t>
  </si>
  <si>
    <t>project OCTOPHYS-Fisiologia de la nutricion y del estres en las primeras fases de vida del pulpo comun (Octopus vulgaris) from the Spanish government; DGAPA-UNAM(Universidad Nacional Autonoma de Mexico); DGECI-UNAM</t>
  </si>
  <si>
    <t>The project OCTOPHYS-Fisiologia de la nutricion y del estres en las primeras fases de vida del pulpo comun (Octopus vulgaris) from the Spanish government funded this research. This research was partially financed by the projects PAPIIT IT201117 and IN204019 from the DGAPA-UNAM to Pedro Gallardo and Carlos Rosas, respectively. TEMPOXMAR collaboration net was financed by DGECI-UNAM.</t>
  </si>
  <si>
    <t>10.1007/s10499-020-00524-1</t>
  </si>
  <si>
    <t>WOS:000518412400001</t>
  </si>
  <si>
    <t>Maselli, V; Al-Soudy, AS; Buglione, M; Aria, M; Polese, G; Di Cosmo, A</t>
  </si>
  <si>
    <t>Maselli, Valeria; Al-Soudy, Al-Sayed; Buglione, Maria; Aria, Massimo; Polese, Gianluca; Di Cosmo, Anna</t>
  </si>
  <si>
    <t>Sensorial Hierarchy in Octopus vulgaris's Food Choice: Chemical vs. Visual</t>
  </si>
  <si>
    <t>Octopus vulgaris; cephalopod behaviour; problem-solving; cephalopod; chemical cues; visual cues; food choice; octopus sense organs</t>
  </si>
  <si>
    <t>CUTTLEFISH SEPIA-OFFICINALIS; VERTICAL LOBE; DISTANCE CHEMORECEPTION; PREDATOR RECOGNITION; CHROMATIC ABERRATION; COMMON CUTTLEFISH; OLFACTORY ORGAN; NERVOUS-SYSTEM; COLOR-VISION; DISCRIMINATION</t>
  </si>
  <si>
    <t>Simple Summary Coleoids are cephalopods endowed with a highly sophisticated nervous system with keen sense organs and an exceptionally large brain that includes more than 30 differentiated lobes. Within this group, Octopus vulgaris, well known as an intelligent soft-bodied animal, has a significant number of lobes in the nervous system dedicated to decoding and integrating visual, tactile, and chemosensory perceptions. In this study, we aimed to understand the key role of chemical and visual cues during food selection in O. vulgaris. We first defined the preferred food, and subsequently, we set up five different problem-solving tasks, in which the animal's choice is guided by visual and chemosensory signals, either alone or together, to evaluate whether individual O. vulgaris uses a sensorial hierarchy. Our behavioural experiments show that this species does integrate different sensory information from chemical and visual cues during food selection; however, our results indicate that chemical perception provides accurate and faster information leading to food choice. This research opens new perspectives on O. vulgaris' predation strategies. AbstractOctopus vulgaris possesses highly sophisticated sense organs, processed by the nervous system to generate appropriate behaviours such as finding food, avoiding predators, identifying conspecifics, and locating suitable habitat. Octopus uses multiple sensory modalities during the searching and selection of food, in particular, the chemosensory and visual cues. Here, we examined food choice in O. vulgaris in two ways: (1) We tested octopus's food preference among three different kinds of food, and established anchovy as the preferred choice (66.67%, Friedman test p &lt; 0.05); (2) We exposed octopus to a set of five behavioural experiments in order to establish the sensorial hierarchy in food choice, and to evaluate the performance based on the visual and chemical cues, alone or together. Our data show that O. vulgaris integrates sensory information from chemical and visual cues during food choice. Nevertheless, food choice resulted in being more dependent on chemical cues than visual ones (88.9%, Friedman test p &lt; 0.05), with a consistent decrease of the time spent identifying the preferred food. These results define the role played by the senses with a sensorial hierarchy in food choice, opening new perspectives on the O. vulgaris' predation strategies in the wild, which until today were considered to rely mainly on visual cues.</t>
  </si>
  <si>
    <t>[Maselli, Valeria; Al-Soudy, Al-Sayed; Buglione, Maria; Polese, Gianluca; Di Cosmo, Anna] Univ Napoli Federico II, Complesso Univ Monte St Angelo, Dept Biol, Via Cinthia, Naples 80126, Italy; [Aria, Massimo] Univ Naples Federico II, Complesso Univ Monte St Angelo, Dept Econ &amp; Stat, Via Cinthia, Naples 80126, Italy</t>
  </si>
  <si>
    <t>University of Naples Federico II; University of Naples Federico II</t>
  </si>
  <si>
    <t>Polese, G; Di Cosmo, A (corresponding author), Univ Napoli Federico II, Complesso Univ Monte St Angelo, Dept Biol, Via Cinthia, Naples 80126, Italy.</t>
  </si>
  <si>
    <t>valeria.maselli@unina.it; alsayedalsoudymohamed.mostafa@unina.it; maria.buglione@unina.it; massimo.aria@unina.it; gianluca.polese@unina.it; dicosmo@unina.it</t>
  </si>
  <si>
    <t>10.3390/ani10030457</t>
  </si>
  <si>
    <t>WOS:000529378800090</t>
  </si>
  <si>
    <t>Bastos, P; Fracalossi, DM; Chimal, ME; Sánchez, A; Rosas, C</t>
  </si>
  <si>
    <t>Bastos, Penelope; Fracalossi, Debora M.; Eugenia Chimal, Maria; Sanchez, Ariadna; Rosas, Carlos</t>
  </si>
  <si>
    <t>Digestive enzymes and timing of digestion in Octopus vulgaris type II</t>
  </si>
  <si>
    <t>Cephalopod; Protease; Gastric juice; Digestive physiology; Aquaculture</t>
  </si>
  <si>
    <t>DOSIDICUS-GIGAS HEPATOPANCREAS; COMMON OCTOPUS; PROTEOLYTIC-ENZYMES; CYSTEINE PROTEINASE; LIPID-COMPOSITION; FORMULATED DIETS; GROWTH; GLAND; CEPHALOPODS; SURVIVAL</t>
  </si>
  <si>
    <t>The study of digestive physiology is a crucial aspect enabling commercial aquaculture of Octopus vulgaris type II. Knowing the processes of digestion, absorption, and assimilation of nutrients and factors that modulate the digestive environment is fundamental for designing adequate diets based on the digestive capacity of the animals. In the present study, we characterized the activity of total proteases in the gastric juice and digestive gland in adult O. vulgaris type II both fasted and during the postprandial period, and evaluated their digestive dynamics. In vitro experiments showed this species had predominantly acidic digestion, with maximal proteolytic activity at pH 3-4 and temperatures of 50 degrees C and 70 degrees C. These results confirmed the carnivorous feeding habit and high adaptive capacity of digestive enzymes in this species. The digestion time was 400 min at 20 degrees C when the digestive tract was ready to receive its next meal. Digestion occurred in two stages: the first, at the beginning of digestion, with rapid passage of soluble nutrients along the digestive tract; the second, which was slower, and involved the digestion, absorption, and assimilation of more complex nutrients (proteins and lipids). The ingestion peak occurred at 200 min after feeding when proteolytic activity was maximal. This species uses proteins as its primary source of energy and mobilizes proteins before lipids during intracellular digestion, which is a different digestion pattern to other tropical and subtropical-temperate octopus species. This new information contributes to a better understanding of the digestive physiology of O. vulgaris type II and is essential for formulating specific commercial diets for its farming.</t>
  </si>
  <si>
    <t>[Bastos, Penelope; Fracalossi, Debora M.] Univ Fed Santa Catarina, Dept Aquicultura, Lab Nutr Especies Aquicolas, Rodovia Admar Gonzaga 1346, BR-88034001 Florianopolis, SC, Brazil; [Eugenia Chimal, Maria; Sanchez, Ariadna; Rosas, Carlos] Univ Nacl Autonoma Mexico, Fac Ciencias, Unidad Multidisciplinaria Docencia &amp; Invest, Puerto Abrigo S-N, Sisal 97358, Yucatan, Mexico</t>
  </si>
  <si>
    <t>Universidade Federal de Santa Catarina (UFSC); Universidad Nacional Autonoma de Mexico</t>
  </si>
  <si>
    <t>Rosas, C (corresponding author), Univ Nacl Autonoma Mexico, Fac Ciencias, Unidad Multidisciplinaria Docencia &amp; Invest, Puerto Abrigo S-N, Sisal 97358, Yucatan, Mexico.</t>
  </si>
  <si>
    <t>penelopebastos@gmail.com; debora.fracalossi@ufsc.br; eugchimal@gmail.com; ariadnasa@ciencias.unam.mx; crv@ciencias.unam.mx</t>
  </si>
  <si>
    <t>Coordenacao de Aperfeicoamento de Pessoal de Nivel Superior - Brasil (CAPES) [001, 88881.068194/2014-01, 43/2013]; Conselho Nacional de Desenvolvimento Cientifico e Tecnologico Brasil (CNpq) l; Program PAPIIT National Autonomous University of Mexico [IN204019]</t>
  </si>
  <si>
    <t>Coordenacao de Aperfeicoamento de Pessoal de Nivel Superior - Brasil (CAPES)(Coordenacao de Aperfeicoamento de Pessoal de Nivel Superior (CAPES)); Conselho Nacional de Desenvolvimento Cientifico e Tecnologico Brasil (CNpq) l(Conselho Nacional de Desenvolvimento Cientifico e Tecnologico (CNPQ)Fundacao de Apoio a Pesquisa do Distrito Federal (FAPDF)); Program PAPIIT National Autonomous University of Mexico</t>
  </si>
  <si>
    <t>This research was funded by the Coordenacao de Aperfeicoamento de Pessoal de Nivel Superior - Brasil (CAPES) - Finance Code 001 [grant numbers 88881.068194/2014-01, Ciencias do Mar II 43/2013]; Conselho Nacional de Desenvolvimento Cientifico e Tecnologico Brasil (CNpq) l; and the Program PAPIIT National Autonomous University of Mexico [grant number IN204019].</t>
  </si>
  <si>
    <t>10.1016/j.aqrep.2019.100262</t>
  </si>
  <si>
    <t>WOS:000517752000028</t>
  </si>
  <si>
    <t>Borrelli, L; Chiandetti, C; Fiorito, G</t>
  </si>
  <si>
    <t>Borrelli, Luciana; Chiandetti, Cinzia; Fiorito, Graziano</t>
  </si>
  <si>
    <t>A standardized battery of tests to measure Octopus vulgaris' behavioural performance</t>
  </si>
  <si>
    <t>INVERTEBRATE NEUROSCIENCE</t>
  </si>
  <si>
    <t>Behavioural response; Standardized protocols; Octopus vulgaris; Mollusc; Cephalopods</t>
  </si>
  <si>
    <t>VISUAL-DISCRIMINATION; PERSONALITY-TRAITS; SEPIA-OFFICINALIS; MEMORY; FEAR; NEOPHOBIA; PHENOTYPES; PREFERENCE; PARADIGMS; CIRCUITS</t>
  </si>
  <si>
    <t>Here we introduce a series of behavioural tasks to assess inter-individual variability in behaviours exhibited by the cephalopod mollusc Octopus vulgaris. We propose that, by using octopus' predatory behavioural response, it is possible to measure: (1) the ability to adapt to the captive condition (acclimatization), (2) the response towards novel stimuli (neophobia), (3) the capability of social learning, (4) the ability of solving problems (problem solving), and (5) the response to artificial stimuli (preferences, individual learning). To assure comparability and reproducibility of results, this battery of tests is here applied to a large sample of individuals in standardized experimental conditions. Such battery of tests serves as an in vivo screening that should be adopted not only to investigate cognitive abilities in specific behavioural domains, but also to monitor the welfare status of animals under captivity, thus to check sensory functions as well as motor abilities in other investigations within the fields of biology and neuroscience. Our aim was to provide a reliable tool to exploit this animal species for research in different fields.</t>
  </si>
  <si>
    <t>[Borrelli, Luciana; Fiorito, Graziano] Stn Zool Anton Dohrn, Dept Biol &amp; Evolut Marine Organisms, I-80121 Naples, Italy; [Chiandetti, Cinzia] Univ Trieste, Dept Life Sci, Via L Giorgieri 5, I-34127 Trieste, Italy</t>
  </si>
  <si>
    <t>Stazione Zoologica Anton Dohrn; University of Trieste</t>
  </si>
  <si>
    <t>Fiorito, G (corresponding author), Stn Zool Anton Dohrn, Dept Biol &amp; Evolut Marine Organisms, I-80121 Naples, Italy.</t>
  </si>
  <si>
    <t>graziano.fiorito@szn.it</t>
  </si>
  <si>
    <t>Stazione Zoologica Anton Dohrn (Napoli, Italy); Fondazione Banco di Napoli (Italy)</t>
  </si>
  <si>
    <t>The authors are grateful to Prof. L. Lefebvre (McGill University, Montreal, Canada) for his support and advice in the construction of the experimental battery for Octopus, following his pioneering studies on birds. This work is part of the PhD project of Dr L. Borrelli (Borrelli, L., 2007. Testing the contribution of relative brain size and learning capabilities on the evolution of Octopus vulgaris and other cephalopods. PhD Thesis, Stazione Zoologica Anton Dohrn, Italy and Open University, UK). The study has been supported by the Stazione Zoologica Anton Dohrn (Napoli, Italy) and Fondazione Banco di Napoli (Italy) to GF.</t>
  </si>
  <si>
    <t>FEB 14</t>
  </si>
  <si>
    <t>10.1007/s10158-020-0237-7</t>
  </si>
  <si>
    <t>WOS:000513343700001</t>
  </si>
  <si>
    <t>Martínez-Morcillo, S; Rodríguez-Gil, JL; Fernández-Rubio, J; Rodríguez-Mozaz, S; Míguez-Santiyán, MP; Valdes, ME; Barceló, D; Valcárcel, Y</t>
  </si>
  <si>
    <t>Martinez-Morcillo, Salome; Luis Rodriguez-Gil, Jose; Fernandez-Rubio, Javier; Rodriguez-Mozaz, Sara; Prado Miguez-Santiyan, Maria; Eugenia Valdes, Maria; Barcelo, Damia; Valcarcel, Yolanda</t>
  </si>
  <si>
    <t>Presence of pharmaceutical compounds, levels of biochemical biomarkers in seafood tissues and risk assessment for human health: Results from a case study in North-Western Spain</t>
  </si>
  <si>
    <t>INTERNATIONAL JOURNAL OF HYGIENE AND ENVIRONMENTAL HEALTH</t>
  </si>
  <si>
    <t>Seafood; Pharmaceutical; Tissue concentration; Biomarker; Monitoring; Risk assessment</t>
  </si>
  <si>
    <t>MUSSELS MYTILUS-GALLOPROVINCIALIS; GLUTATHIONE S-TRANSFERASES; INTEGRATED ASSESSMENT; LABORATORY CONDITIONS; ENDOCRINE DISRUPTORS; CERASTODERMA-GLAUCUM; ANTIOXIDANT ENZYMES; METAL CONTAMINATION; SELECTIVE UPTAKE; CARCINUS-MAENAS</t>
  </si>
  <si>
    <t>This study assessed the presence of 27 pharmaceutically active compounds belonging to common therapeutic groups (cardiovascular, antiashmatic, psychoactive, diuretic, analgesic/anti-inflammatory, and antibiotic drugs) in the tissues of representative seafood species of bivalves, cephalopods, arthropods, and fish of high economic importance and consumption rates in North-Western Spain. Four pharmaceutical compounds, out of the 27 analyzed, were detected in the collected samples. The benzodiazepine citalopram was detected in the tissues of common octopus (14.1 ng g(-1) dry weight) and pod razor (9.4 ng g(-1) dw). The anxiolytic venlafaxine was detected in the tissues of common cockle (2.9 ng g(-1) dw). The veterinary antiparasitic ronidazole was found in pod razor (2.3 ng g(-1) dw) and, fmally, the psychoactive compound alprazolam was also measured in common octopus (0.3 ng g(-1) dw). Hazard quotients were calculated to assess the hazard posed by the consumption of the sampled seafoods. Octopus and pod razor tissues containing citalopram and alprazolam exceeded our chosen hazard limits (HQ &gt; 0.1) for toddlers who are high consumers of seafood (HQ values between 0.18 and 0.27). A battery of biochemical biomarkers of effects (acetylcholinesterase, glutathione S-transferase; catalase, glutathione peroxidase and glutathione reductase enzymes activities and reduced/oxidized glutathione and malondialdehyde levels) was applied to samples of the study species with the aim of characterizing their basal levels and evaluating their suitability as a tool in the monitoring chronic exposure to environmental contaminants such as those analyzed in this study. According to the measured biomarkers, pod razor and cockles have the potential to be good bioindicator species, based on the observed among-site differences detected on acetylcholinesterase, glutathione S-transferase, catalase, glutathione peroxidase activities; reduced/oxidized glutathione and malondialdehyde levels.</t>
  </si>
  <si>
    <t>[Martinez-Morcillo, Salome; Prado Miguez-Santiyan, Maria] Univ Extremadura, Vet Fac, Unit Toxicol, Caceres, Spain; [Luis Rodriguez-Gil, Jose; Fernandez-Rubio, Javier; Valcarcel, Yolanda] Rey Juan Carlos Univ, Res &amp; Teaching Grp Environm Toxicol &amp; Risk Assess, Madrid 28933, Spain; [Luis Rodriguez-Gil, Jose] Univ Ottawa, Dept Biol, Ottawa, ON K1N 6N5, Canada; [Rodriguez-Mozaz, Sara; Barcelo, Damia] Univ Girona, Catalan Inst Water Res ICRA, H2O Bldg,Sci &amp; Technol Pk,Emili Grahit 101, Girona 17003, Spain; [Eugenia Valdes, Maria] Consejo Nacl Invest Cient &amp; Tecn, Inst Ciencia &amp; Tecnol Alimentos Cordoba ICYTAC, Juan Filloy S-N,Ciudad Univ, Cordoba, Argentina; [Eugenia Valdes, Maria] Univ Nacl Cordoba, Juan Filloy S-N,Ciudad Univ, Cordoba, Argentina; [Barcelo, Damia] CSIC, Dept Environm Chem, Water &amp; Soil Qual Res Grp, Inst Environm Assessment &amp; Water Res IDAEA, Jordi Girona 18-26, Barcelona 08034, Spain; [Fernandez-Rubio, Javier; Valcarcel, Yolanda] Rey Juan Carlos Univ, Dept Med &amp; Surg, Psychol Prevent Med &amp; Publ Hlth, Immunol &amp; Med Microbiol,Nursery &amp; Stomatol,Fac Hl, Madrid 28922, Spain</t>
  </si>
  <si>
    <t>Universidad de Extremadura; Universidad Rey Juan Carlos; University of Ottawa; Institut Catala de Recerca de l'Aigua (ICRA); Universitat de Girona; Consejo Nacional de Investigaciones Cientificas y Tecnicas (CONICET); National University of Cordoba; Consejo Superior de Investigaciones Cientificas (CSIC); CSIC - Centro de Investigacion y Desarrollo Pascual Vila (CID-CSIC); CSIC - Instituto de Diagnostico Ambiental y Estudios del Agua (IDAEA); Universidad Rey Juan Carlos</t>
  </si>
  <si>
    <t>Martínez-Morcillo, S (corresponding author), Univ Extremadura, Vet Fac, Unit Toxicol, Caceres, Spain.;Valcárcel, Y (corresponding author), Rey Juan Carlos Univ, Res &amp; Teaching Grp Environm Toxicol &amp; Risk Assess, Madrid 28933, Spain.</t>
  </si>
  <si>
    <t>martinezmorcillo@uex.es; jose.rodriguez@uottawa.ca; javier.fernandezrubio@urjc.es; srodriguez@icra.cat; mpmiguez@uex.es; mvaldes@fcq.unc.edu.ar; dbcqam@cid.csic.es; yolanda.valcarcel@urjc.es</t>
  </si>
  <si>
    <t>Spanish Ministry of Economy and Competitiveness through the Carlos III Health Institute [P114/00516]; European Regional Development Fund (ERDF); Economy and Knowledge Department of the Catalan Government [ICRA-ENV 2017 SGR 1124, 2017-SGR-1404]; Spanish Ministry of Economy, Industry and Competitiveness [RyC-2014-16707]</t>
  </si>
  <si>
    <t>Spanish Ministry of Economy and Competitiveness through the Carlos III Health Institute(Spanish Government); European Regional Development Fund (ERDF)(European Union (EU)); Economy and Knowledge Department of the Catalan Government; Spanish Ministry of Economy, Industry and Competitiveness(Spanish Government)</t>
  </si>
  <si>
    <t>This work was financially supported by the Spanish Ministry of Economy and Competitiveness through the Carlos III Health Institute and the program Proyectos de Investigacidn en Salud 2015-2018 FIS (P114/00516) and the European Regional Development Fund (ERDF), the Economy and Knowledge Department of the Catalan Government (Consolidated Research Groups (ICRA-ENV 2017 SGR 1124 and 2017-SGR-1404-Water and Soil Quality Unit). Dr. SRM acknowledges her Ramon y Cajal fellowship (RyC-2014-16707) from the Spanish Ministry of Economy, Industry and Competitiveness. INDROPS laboratory (Santiago de Compostela, Spain) and Miguel Gonzalez Castromil are acknowledged for collecting samples.</t>
  </si>
  <si>
    <t>10.1016/j.ijheh.2019.10.011</t>
  </si>
  <si>
    <t>Public, Environmental &amp; Occupational Health; Infectious Diseases</t>
  </si>
  <si>
    <t>WOS:000509004300002</t>
  </si>
  <si>
    <t>Benkrama, H; Bouderbala, M; García-Bueno, N; Marín, A</t>
  </si>
  <si>
    <t>Benkrama, Hadjer; Bouderbala, Mohammed; Garcia-Bueno, Nuria; Marin, Arnaldo</t>
  </si>
  <si>
    <t>Anthropo-niche characterization of Mediterranean cephalopods with trace elements and isotopic niches</t>
  </si>
  <si>
    <t>Anthropogenic pressure; Cephalopods; Isotopic niche; Loligo vulgaris; Octopus vulgaris; Sepia officinalis; Trace elements</t>
  </si>
  <si>
    <t>STABLE-ISOTOPES; METAL CONCENTRATIONS; OCTOPUS-VULGARIS; SEPIA-OFFICINALIS; HEAVY-METALS; MERCURY; NITROGEN; CADMIUM; ECOLOGY; SQUID</t>
  </si>
  <si>
    <t>Human pressure leaves a mark on coastal ecosystems that can be used to study the ecology of marine species. This study compared the trace elements (TEs) composition and isotopic niche metrics of the squid Loligo vulgaris, the cuttlefish Sepia officinalis and the octopus Octopus vulgaris in the western Mediterranean Sea. The results revealed that anthropogenic pressure clearly affected coastal waters and the habitat use of these three cephalopods. Anthropogenic pressure in coastal areas, measured by the LUSI index, correlated with the TEs composition of cephalopods. The DistLM analysis showed that Cr and Zn were strong predictor variables of the LUSI matrix on all three cephalopod species. In this study, isotopic niche, combined with the CAP analysis of TEs, were plotted in a bivariate manner, which could refer to an anthropo-niche. We provide a useful heuristic scheme for analyzing the interplay among coastal influence, trophic level, and the TEs from environment.</t>
  </si>
  <si>
    <t>[Benkrama, Hadjer; Bouderbala, Mohammed] Univ Oran 1 Ahmed Benbella, Dept Biol, Lab Network Environm Monitoring LASE, BP 1524, El Mnaouer 31000, Oran, Algeria; [Benkrama, Hadjer; Garcia-Bueno, Nuria; Marin, Arnaldo] Univ Murcia, Fac Biol, Dept Ecol &amp; Hidrol, Murcia 301007, Spain</t>
  </si>
  <si>
    <t>University of Murcia</t>
  </si>
  <si>
    <t>Marín, A (corresponding author), Univ Murcia, Fac Biol, Dept Ecol &amp; Hidrol, Murcia 301007, Spain.</t>
  </si>
  <si>
    <t>[678396]</t>
  </si>
  <si>
    <t>Methodology of this study is based on protocols developed in the H2020-TAPAS project (Tools for Assessment and Planning of Aquaculture Sustainability, project number 678396).</t>
  </si>
  <si>
    <t>10.1016/j.marpolbul.2019.110597</t>
  </si>
  <si>
    <t>WOS:000509611200044</t>
  </si>
  <si>
    <t>Country</t>
  </si>
  <si>
    <t>Italy</t>
  </si>
  <si>
    <t>Primary Research Category</t>
  </si>
  <si>
    <t>Agency Score</t>
  </si>
  <si>
    <t>Agency Score Reasoning</t>
  </si>
  <si>
    <t>Presence of Cognitive/Welfare Insight</t>
  </si>
  <si>
    <t>Method Type</t>
  </si>
  <si>
    <t>Method Notes</t>
  </si>
  <si>
    <t>N/A</t>
  </si>
  <si>
    <t>NA-PM</t>
  </si>
  <si>
    <t>N of Individuals</t>
  </si>
  <si>
    <t>Post-Mortem Tissue Use</t>
  </si>
  <si>
    <t xml:space="preserve">Invasiveness Score </t>
  </si>
  <si>
    <t>Fisheries Management &amp; Commercial Use</t>
  </si>
  <si>
    <t>The octopus is treated solely as a commercial specimen; no behavior, choice, cognition, individuality, or other indication of agency is considered.</t>
  </si>
  <si>
    <t>No</t>
  </si>
  <si>
    <t>160 O. vulgaris commercial specimens were sourced through the Italian seafood supply chain, including samples analyzed upon arrival at Esselunga retail facilities and commercially frozen specimens. Fresh/tenderized specimens were scanned using portable NIR spectroscopy, then frozen for 2 or 4 months, thawed, and rescanned; commercially frozen specimens were scanned after air- or water-thawing. Animals were already dead as commercial seafood and were not killed for the study.</t>
  </si>
  <si>
    <t>Insight Gained</t>
  </si>
  <si>
    <t>Portable NIR spectroscopy could distinguish fresh from thawed O. vulgaris, supporting non-destructive seafood authentication and fraud detection, though accuracy declined with external samples.</t>
  </si>
  <si>
    <t>Octopus Experience</t>
  </si>
  <si>
    <t>39 O. vulgaris (591 animals in total)</t>
  </si>
  <si>
    <t>Mantle and fin tissue from 39 wild-caught O. vulgaris obtained from large-scale retail suppliers was analyzed for methylmercury and total mercury. Specimens originated from Mediterranean (n = 29) and Atlantic (n = 10) fishing areas and were already dead commercial fishery products.</t>
  </si>
  <si>
    <t>O. vulgaris had relatively high mercury contamination, with 10% exceeding EU THg limits; octopus consumption was identified as a potentially important source of mercury exposure, particularly for children.</t>
  </si>
  <si>
    <t>Neurobiology &amp; Physiology</t>
  </si>
  <si>
    <t>Physiological Embodiment</t>
  </si>
  <si>
    <t>Physiological and sensory processes are considered mechanistically, including potential nociceptive signaling, but cognition, choice, or intentional behavior is not investigated.</t>
  </si>
  <si>
    <t>Yes</t>
  </si>
  <si>
    <t>Active/Lethal Post-Mortem Tissue Use</t>
  </si>
  <si>
    <t>Three young-adult O. vulgaris were caught by artisanal fishers in the Bay of Naples, weighed and sexed, then euthanized under EU welfare protocols. Neural, arm, sucker, digestive, salivary, immune, and other tissues were collected for RNA extraction, cDNA synthesis, PCR, and molecular characterization of allatostatin C signaling.</t>
  </si>
  <si>
    <t>D</t>
  </si>
  <si>
    <t>Potential involvement of allatostatin signaling in nociceptive processing. Identified one allatostatin C peptide and two receptors broadly expressed across neural, digestive, and immune tissues, suggesting pleiotropic functions and a potential role in sensory processing and nociceptive modulation.</t>
  </si>
  <si>
    <t>Secondary Research Category</t>
  </si>
  <si>
    <t>Environmental &amp; Ecotoxicological Assessment</t>
  </si>
  <si>
    <t>Genomics &amp; Molecular Characterization</t>
  </si>
  <si>
    <t>Reproductive &amp; Developmental Biology</t>
  </si>
  <si>
    <t>Reproductive processes are interpreted functionally, but the octopuses are primarily treated as anatomical specimens; no individual choice, cognition, or intentional behavior is investigated.</t>
  </si>
  <si>
    <t>IACUC-approved procedures; 3% ethanol anesthesia until loss of responsiveness; humane euthanasia by CNS dissection; established cephalopod ethical and anesthesia guidelines followed.</t>
  </si>
  <si>
    <t>373 O. vulgaris were pot-caught near Yeosu, South Korea (May 2022–July 2023; ~25/month). Animals were anesthetized in 3% ethanol, euthanized by rapid CNS dissection, and female reproductive systems dissected for histological/histochemical analysis across ovarian developmental stages.</t>
  </si>
  <si>
    <t>Female reproductive anatomy changes across developmental stages and supports spermatophore reaction, long-term sperm storage, fertilization, and egg coating; sperm appear to migrate to and be stored in spermathecae of the oviducal gland. The authors explicitly frame understanding reproduction as necessary for fishery conservation and resource management.</t>
  </si>
  <si>
    <t>South Korea</t>
  </si>
  <si>
    <t>Portugal</t>
  </si>
  <si>
    <t>Italy, Czech Republic</t>
  </si>
  <si>
    <t>Italy, England</t>
  </si>
  <si>
    <t>Ecology &amp; Natural History</t>
  </si>
  <si>
    <t>Spatial Navigation &amp; Environmental Use</t>
  </si>
  <si>
    <t>Octopuses are analyzed as species-occurrence records in relation to environmental conditions; no behavior, choice, cognition, individuality, or other indication of agency is considered.</t>
  </si>
  <si>
    <t>Literature Review / Data Synthesis</t>
  </si>
  <si>
    <t>Existing ICES DATRAS bottom-trawl survey data (1990–2022) were analyzed to characterize O. vulgaris occurrence in relation to depth, bottom temperature, and salinity across the NE Atlantic shelf. No animals were collected specifically for this study. Published literature was also reviewed to supplement and compare distributional patterns.</t>
  </si>
  <si>
    <t>Not Reported</t>
  </si>
  <si>
    <r>
      <t>O. vulgaris</t>
    </r>
    <r>
      <rPr>
        <sz val="10"/>
        <rFont val="Arial"/>
        <family val="2"/>
      </rPr>
      <t xml:space="preserve"> showed a relatively coastal, southerly distribution and a comparatively restricted environmental range, potentially increasing its vulnerability to ocean warming.</t>
    </r>
  </si>
  <si>
    <t>Dead commercial cephalopods were obtained from South Korean seafood markets. Muscle tissue was dissected, frozen, ethanol-preserved, and used for genomic DNA extraction. COI-based species-specific primers were developed and tested in a multiplex PCR assay for commercial species identification.</t>
  </si>
  <si>
    <t>Developed a multiplex COI PCR assay that reliably distinguished O. vulgaris from five other commercially important cephalopods, supporting seafood identification and market surveillance.</t>
  </si>
  <si>
    <t>Germany, Ireland, Spain, France, Greece</t>
  </si>
  <si>
    <t>Electronic logbooks and sales records from ~150 Portuguese coastal fishing vessels (2014–2023) were analyzed to identify gear- and species-specific fishing métiers and their spatial and seasonal patterns. O. vulgaris catch records were analyzed as part of the existing fisheries dataset; no animals were used directly for this study.</t>
  </si>
  <si>
    <t>The O. vulgaris trap fishery was the most representative métier in Portugal’s multi-gear coastal fleet; métier classification improved characterization of gear-specific fishing effort and its spatial and seasonal distribution.</t>
  </si>
  <si>
    <t>Comparative Anatomy &amp; Evolution</t>
  </si>
  <si>
    <t>The octopus is represented solely through genomic data; no behavior, choice, cognition, individuality, or other indication of agency is considered.</t>
  </si>
  <si>
    <r>
      <t xml:space="preserve">Existing </t>
    </r>
    <r>
      <rPr>
        <i/>
        <sz val="10"/>
        <rFont val="Arial"/>
        <family val="2"/>
      </rPr>
      <t>O. vulgaris</t>
    </r>
    <r>
      <rPr>
        <sz val="10"/>
        <rFont val="Arial"/>
        <family val="2"/>
      </rPr>
      <t xml:space="preserve"> genome assembly xcOctVulg1.2 (GCA_951406725.2; 2.8 Gb) was computationally re-analyzed using repeat-detection and annotation pipelines to characterize transposable elements, their genomic distribution, and historical expansion. No animals or physical biological specimens were used in the present study.</t>
    </r>
  </si>
  <si>
    <t>Re-annotation indicated that ~66% of the O. vulgaris genome consists of repetitive elements and identified four historical TE expansions plus genomic TE hot- and cold-spots.</t>
  </si>
  <si>
    <t>Live cephalopods used in scientific research are protected under European Directive 2010/63/EU due to growing evidence that adult cephalopods can experience pain. This protection also extends to paralarval Octopus vulgaris, despite the absence of evidence that these early life stages are capable of nociception or pain. Consequently, the question arises whether welfare protection should be applied as a precaution when evidence of sentience is lacking, or only once it has been empirically demonstrated. Ethical reasoning under such uncertainty is influenced by views about sentience, scientific necessity, and societal relevance, and prior work suggests these views differ between scientists and laypeople. However, it remains unclear how these considerations combine when evidence for sentience is incomplete. This study investigated what influences ethical reasoning about the use of O. vulgaris paralarvae in research. An online survey (N = 205) presented cephalopod biologists, other biologists, and non-biologists with one of three scenarios describing a gene expression experiment on O. vulgaris paralarvae in which nociception-related genes were expressed, not expressed, or not yet investigated. The provided scientific information did not significantly affect ethical judgments, but beliefs about pain capacity, disciplinary background, and gender did. These findings suggest that ethical evaluations in the context of uncertain biological evidence are driven more by prior beliefs, disciplinary background, and gender than by scientific information and familiarity with research ethics. This underscores the need for more accessible science communication, improved ethical engagement, and more objective evaluation of ethics education to support well-informed and inclusive decision-making in animal research governance.</t>
  </si>
  <si>
    <t>Captive Laboratory Husbandry</t>
  </si>
  <si>
    <t>Captive Health &amp; Affective Welfare</t>
  </si>
  <si>
    <r>
      <t>O. vulgaris</t>
    </r>
    <r>
      <rPr>
        <sz val="10"/>
        <rFont val="Arial"/>
        <family val="2"/>
      </rPr>
      <t xml:space="preserve"> paralarvae are explicitly considered as potentially sentient individuals capable of nociception or pain, and their interests are directly considered in evaluating the ethics of research use.</t>
    </r>
  </si>
  <si>
    <t>Online survey of 205 cephalopod biologists, other biologists, and non-biologists. Participants evaluated one of three hypothetical gene-expression experiments involving O. vulgaris paralarvae, differing in whether nociception-related genes were described as expressed, absent, or not yet investigated. No octopuses were used in the study.</t>
  </si>
  <si>
    <t>Ethical judgments were not significantly changed by the supplied evidence about nociception-related gene expression; judgments instead varied with prior beliefs about pain capacity, disciplinary background, and gender.</t>
  </si>
  <si>
    <t>Canada</t>
  </si>
  <si>
    <t>Belgium</t>
  </si>
  <si>
    <t>Spain</t>
  </si>
  <si>
    <t>England</t>
  </si>
  <si>
    <t>Libya</t>
  </si>
  <si>
    <t>Aquaculture &amp; Commercial Rearing</t>
  </si>
  <si>
    <t>Maternal egg-cleaning behavior and paralarval responses are recognized as biologically functional, but octopus choice, cognition, individuality, or intentional agency are not investigated.</t>
  </si>
  <si>
    <t>Captive Rearing &amp; Physiological Monitoring</t>
  </si>
  <si>
    <t>Eggs from one wild-caught female maintained in captivity were used to assess egg microbiota and probiotic treatment. Egg clusters were removed from maternal care, artificially ventilated, and repeatedly immersed in Phaeobacter sp. 4UAC3 or control solutions. Hatched paralarvae were assigned to probiotic and/or Vibrio lentus infection treatments (20/aquarium; 12 aquaria), monitored for survival for 6 days, and selected larvae were euthanized for microbiological analysis.</t>
  </si>
  <si>
    <t>1 adult female + 240 paralarvae in infection trial; additional eggs/embryos used, exact total not provided in excerpt</t>
  </si>
  <si>
    <t>Maternal care reduced cultivable bacterial loads on egg surfaces. Phaeobacter sp. 4UAC3 inhibited relevant pathogens and improved paralarval survival, but probiotic egg treatment reduced hatching success by 33%, indicating that administration method requires refinement.</t>
  </si>
  <si>
    <t>Reproductive &amp; Developmental Behavior</t>
  </si>
  <si>
    <t>Reproduction, growth, maturation, and life-history variation are interpreted functionally, but individuals are primarily treated as biological specimens; cognition, choice, or intentional behavior is not investigated.</t>
  </si>
  <si>
    <t>504 commercially caught O. vulgaris were sampled near Concarneau, southern Brittany (2022–2024), primarily from the fish market. Sex, body weight, mantle length, and gonadal maturity were assessed by dissection. Buccal masses were removed and beak growth increments analyzed to estimate age and hatching season; carcasses were returned to the fish market.</t>
  </si>
  <si>
    <t>Southern Brittany O. vulgaris appear to reproduce year-round with peak maturation in spring; growth was slower than in previously studied regions and varied by hatching season, suggesting temperature-related life-history plasticity.</t>
  </si>
  <si>
    <t>France</t>
  </si>
  <si>
    <t>Octopus health, stress, and physiological condition are explicitly recognized and monitored, but the animals are primarily investigated mechanistically through their immune cells; cognition, choice, or intentional behavior is not studied.</t>
  </si>
  <si>
    <t>In Vivo Surgical / Physiological Intervention</t>
  </si>
  <si>
    <t>Two wild-caught adult O. vulgaris from the Ría de Vigo were held individually in 500-L tanks and acclimated for 1 week. Both were anesthetized for repeated caudal-vein hemolymph sampling (≤1 mL; ≥6 days between collections) to optimize immune-cell preparation for scRNA-seq. After sampling, one animal was euthanized and its white body excised for immune-cell isolation and dissociation.</t>
  </si>
  <si>
    <t>A</t>
  </si>
  <si>
    <r>
      <t xml:space="preserve">Established a protocol for viable circulating and white-body immune-cell isolation and scRNA-seq in </t>
    </r>
    <r>
      <rPr>
        <i/>
        <sz val="10"/>
        <rFont val="Arial"/>
        <family val="2"/>
      </rPr>
      <t>O. vulgaris</t>
    </r>
    <r>
      <rPr>
        <sz val="10"/>
        <rFont val="Arial"/>
        <family val="2"/>
      </rPr>
      <t>, revealing distinct hemocyte populations and enabling future investigation of immunity, disease resistance, welfare, and aquaculture health.</t>
    </r>
  </si>
  <si>
    <t>Octopuses are treated as genetic and taxonomic units for phylogenetic comparison; no behavior, cognition, choice, individuality, or other indication of agency is considered.</t>
  </si>
  <si>
    <t>Muscle tissue was obtained from two O. vulgaris Type III specimens originating from False Bay, South Africa, and Amsterdam Island. High-molecular-weight DNA was extracted and subjected to shallow random shotgun sequencing. Nuclear genomic loci and complete mitochondrial genomes were assembled and analyzed using phylogenomic and species-delimitation methods. The South African specimen was subsequently deposited at the Iziko South African Museum. The paper does not report capture method, euthanasia, sacrifice, or whether either animal was collected specifically for this study.</t>
  </si>
  <si>
    <r>
      <t xml:space="preserve">Phylogenomic evidence supports </t>
    </r>
    <r>
      <rPr>
        <i/>
        <sz val="10"/>
        <rFont val="Arial"/>
        <family val="2"/>
      </rPr>
      <t>O. vulgaris</t>
    </r>
    <r>
      <rPr>
        <sz val="10"/>
        <rFont val="Arial"/>
        <family val="2"/>
      </rPr>
      <t xml:space="preserve"> Type III as genetically distinct from </t>
    </r>
    <r>
      <rPr>
        <i/>
        <sz val="10"/>
        <rFont val="Arial"/>
        <family val="2"/>
      </rPr>
      <t>O. vulgaris</t>
    </r>
    <r>
      <rPr>
        <sz val="10"/>
        <rFont val="Arial"/>
        <family val="2"/>
      </rPr>
      <t xml:space="preserve"> sensu stricto and </t>
    </r>
    <r>
      <rPr>
        <i/>
        <sz val="10"/>
        <rFont val="Arial"/>
        <family val="2"/>
      </rPr>
      <t>O. sinensis</t>
    </r>
    <r>
      <rPr>
        <sz val="10"/>
        <rFont val="Arial"/>
        <family val="2"/>
      </rPr>
      <t>, supporting taxonomic re-evaluation of the southern-hemisphere lineage.</t>
    </r>
  </si>
  <si>
    <t>South Africa</t>
  </si>
  <si>
    <t>Octopuses are recognized as animals whose welfare may be affected by slaughter method, but no behavior, choice, cognition, individuality, or other expression of agency is investigated.</t>
  </si>
  <si>
    <r>
      <t xml:space="preserve">Six wild-caught </t>
    </r>
    <r>
      <rPr>
        <i/>
        <sz val="10"/>
        <rFont val="Arial"/>
        <family val="2"/>
      </rPr>
      <t>O. vulgaris</t>
    </r>
    <r>
      <rPr>
        <sz val="10"/>
        <rFont val="Arial"/>
        <family val="2"/>
      </rPr>
      <t xml:space="preserve"> from the Bay of Naples were transported alive to the research facility and randomly assigned to ice-bed or MgCl₂ anesthetic killing (n = 3 each). Death was confirmed by dorsal-aorta transection. Arm tissue was sampled after death and analyzed over 48 h for amino acids and nucleotides associated with umami taste.</t>
    </r>
  </si>
  <si>
    <t>Italy, Denmark</t>
  </si>
  <si>
    <t>Anesthesia-based slaughter produced higher GMP and IMP and lower AMP than ice-bed killing, suggesting that the more humane slaughter approach may also improve the meat's umami potential. "Although limited to a small sample of animals, the comparison of two slaughtering methods combined with a temporal analysis over 48 h provides valuable insights into post-mortem flavour development in octopus meat. The focus on umami-related compounds contributes to discussions on both meat quality and aquatic animal welfare.
Further studies are needed to investigate the effect of slaughtering method on cephalopod meat texture and aroma and integrate with potential effects of stunning methods, as applied commercially to several fish species."</t>
  </si>
  <si>
    <t>USA</t>
  </si>
  <si>
    <t>Foraging, Manipulation &amp; Skilled Action</t>
  </si>
  <si>
    <t>Octopuses are treated as individual decision-makers with distinct prey preferences; the study explicitly measures prey selection and behavioral responses to altered chemical information and examines among-individual variation.</t>
  </si>
  <si>
    <t>Captive Behavioral Experimentation</t>
  </si>
  <si>
    <r>
      <t xml:space="preserve">Six wild juvenile </t>
    </r>
    <r>
      <rPr>
        <i/>
        <sz val="10"/>
        <rFont val="Arial"/>
        <family val="2"/>
      </rPr>
      <t>O. vulgaris</t>
    </r>
    <r>
      <rPr>
        <sz val="10"/>
        <rFont val="Arial"/>
        <family val="2"/>
      </rPr>
      <t xml:space="preserve"> were hand-collected by SCUBA divers from southeast Florida lagoons and individually housed in enriched 150-L aquaria. After 11 days acclimation, prey choice and predator-prey interactions were recorded across an 11-day before-during-after experiment involving environmentally relevant oleamide exposure (0.31 ppb). Behavior was video-recorded and prey selection, proximity, predation attempts, grasps, and successful predation quantified. Animals underwent 7-day post-experiment monitoring and were returned to their capture locations within 30 days.</t>
    </r>
  </si>
  <si>
    <t>C</t>
  </si>
  <si>
    <t>Oleamide (a plastic-associated chemical pollutant) altered octopus-prey interactions and prey selection without changing successful predation rates. Octopuses showed individual prey preferences, while pollutant exposure increased selection of free-living crabs, prey proximity, and non-consumptive interactions, suggesting disruption of chemically informed foraging decisions.</t>
  </si>
  <si>
    <t>Octopuses are treated solely as seafood specimens for contamination and food-safety analysis; no behavior, cognition, choice, individuality, or other indication of agency is considered.</t>
  </si>
  <si>
    <t>Thirty fresh wild-caught O. vulgaris obtained directly from professional fisheries in NW Portuguese waters were measured and dissected; mantle and arm muscle equivalent to 10% of body weight was analyzed. Twenty cans of commercial O. vulgaris were also purchased from Portuguese supermarkets and 10 g of tissue from each was analyzed. Samples were digested with H₂O₂ and microplastics quantified and characterized using FTIR spectroscopy.</t>
  </si>
  <si>
    <t>30 fresh individuals + 20 canned samples; number of individuals represented in cans unknown</t>
  </si>
  <si>
    <r>
      <t xml:space="preserve">Microplastics occurred in 60% of both fresh and canned </t>
    </r>
    <r>
      <rPr>
        <i/>
        <sz val="10"/>
        <rFont val="Arial"/>
        <family val="2"/>
      </rPr>
      <t>O. vulgaris</t>
    </r>
    <r>
      <rPr>
        <sz val="10"/>
        <rFont val="Arial"/>
        <family val="2"/>
      </rPr>
      <t>, but canned octopus contained substantially higher concentrations, suggesting that seafood processing/canning may introduce additional microplastic contamination and increase consumer exposure.</t>
    </r>
  </si>
  <si>
    <t>Morocco</t>
  </si>
  <si>
    <t>Greece</t>
  </si>
  <si>
    <t>Japan</t>
  </si>
  <si>
    <t>Mexico</t>
  </si>
  <si>
    <t>Octopuses are described as flexible foragers with individual prey choices and varied foraging strategies, suggesting adaptive behavior, although cognition, decision-making, or individuality are not directly investigated.</t>
  </si>
  <si>
    <t>Limited behavioral insight into flexible and individually variable prey selection and foraging strategies.</t>
  </si>
  <si>
    <t>Incidental</t>
  </si>
  <si>
    <t>Cognitive/Welfare Reasoning</t>
  </si>
  <si>
    <t>Stated</t>
  </si>
  <si>
    <t>Potential nociceptive signaling</t>
  </si>
  <si>
    <t>EU Directive 2010/63/EU, Animal Welfare Body authorization, humane killing protocols, cephalopod best-practice guidance, trained personnel, and explicit 3Rs application.</t>
  </si>
  <si>
    <t>Authors explicitly state that commercially obtained dead specimens did not constitute an animal experiment requiring ethical review under Korean law.</t>
  </si>
  <si>
    <t>Examines uncertainty about nociception and pain capacity in O. vulgaris paralarvae.</t>
  </si>
  <si>
    <t>Directly examines whether welfare protection under EU Directive 2010/63/EU should apply precautionarily when evidence of sentience is uncertain.</t>
  </si>
  <si>
    <t>Procedures were approved under Directive 2010/63/EU and by the Spanish competent authority; sampled paralarvae were anesthetized and euthanized using specified protocols.</t>
  </si>
  <si>
    <t xml:space="preserve"> Immune-cell characterization provides health- and disease-relevant physiological information with potential welfare applications, although welfare itself was not experimentally assessed.</t>
  </si>
  <si>
    <t>Daily welfare/health monitoring, exclusion criteria for disease, stress or abnormal behavior, individual housing based on territorial behavior, anesthesia for hemolymph collection, EU/Spanish welfare compliance, cephalopod-specific care guidelines, multiple ethics approvals, qualified personnel, 3Rs, and ARRIVE 2.0 reporting.</t>
  </si>
  <si>
    <t>Welfare is an explicit rationale (in addition to taste) for comparing slaughter methods; anesthesia and humane killing procedures are discussed.</t>
  </si>
  <si>
    <t>EU Directive 2010/63/EU and cephalopod-specific welfare guidelines cited; ethical clearance obtained; procedures intended to minimize pain, suffering, and distress. Animals were classified as non-recovery and humanely killed according to Annex IV protocols, with MgCl₂ anesthesia/overdose and dorsal-aorta transection to confirm death.</t>
  </si>
  <si>
    <t xml:space="preserve">Oleamide exposure altered prey selection and predator-prey interactions, suggesting disruption of chemical information used in decision-making. </t>
  </si>
  <si>
    <t xml:space="preserve"> FAU IACUC approval and FWC permit; authors explicitly discuss minimizing animal numbers; octopuses were maintained according to EU Directive 2010/63/EU and cephalopod-specific welfare guidelines. Animals received shelters and enrichment, were acclimated before experimentation, and underwent a 7-day post-experimental quarantine for health/behavioral monitoring before release to their capture locations.</t>
  </si>
  <si>
    <t>Researchers collaborated with local fishermen in Cascais to record prey found in octopus pots and prey being carried or consumed by octopuses at capture. Octopuses were obtained during the late-spring fishery, measured for length, weight, sex, and maturity, and arm muscle was sampled. Octopus and potential prey tissues were freeze-dried and analyzed for δ¹³C and δ¹⁵N stable isotopes to estimate dietary contributions.</t>
  </si>
  <si>
    <r>
      <t xml:space="preserve">Stable isotopes indicate a broad diet dominated by </t>
    </r>
    <r>
      <rPr>
        <i/>
        <sz val="10"/>
        <rFont val="Arial"/>
        <family val="2"/>
      </rPr>
      <t>Atrina fragilis</t>
    </r>
    <r>
      <rPr>
        <sz val="10"/>
        <rFont val="Arial"/>
        <family val="2"/>
      </rPr>
      <t xml:space="preserve"> (~70%), followed by </t>
    </r>
    <r>
      <rPr>
        <i/>
        <sz val="10"/>
        <rFont val="Arial"/>
        <family val="2"/>
      </rPr>
      <t>Polybius henslowii</t>
    </r>
    <r>
      <rPr>
        <sz val="10"/>
        <rFont val="Arial"/>
        <family val="2"/>
      </rPr>
      <t xml:space="preserve"> (~18%), with smaller contributions from other prey. Results support dietary flexibility and show that stable isotopes can reveal feeding patterns missed by stomach-content analysis.</t>
    </r>
  </si>
  <si>
    <t>Maternal egg-care behavior was associated with reduced bacterial loads, while experimental treatments and stressful rearing conditions affected hatching and paralarval survival</t>
  </si>
  <si>
    <t>England, Italy</t>
  </si>
  <si>
    <t>Sensory Perception</t>
  </si>
  <si>
    <t>Octopuses are represented through existing transcriptomic data; no individual behavior, choice, preference, or autonomous response was observed or measured.</t>
  </si>
  <si>
    <t>Investigates molecular mechanisms of nociception specifically to better understand the capacity of cephalopods to experience pain-like states.</t>
  </si>
  <si>
    <r>
      <t xml:space="preserve">Explicitly links potential pain capacity to cephalopod welfare protection under EU Directive 2010/63/EU and discusses the variable welfare status associated with wild capture and transport. The authors present their indirect approach as a way to investigate nociception without direct experimentation on </t>
    </r>
    <r>
      <rPr>
        <i/>
        <sz val="10"/>
        <rFont val="Arial"/>
        <family val="2"/>
      </rPr>
      <t>O. vulgaris</t>
    </r>
    <r>
      <rPr>
        <sz val="10"/>
        <rFont val="Arial"/>
        <family val="2"/>
      </rPr>
      <t>.</t>
    </r>
  </si>
  <si>
    <r>
      <t xml:space="preserve">In silico analysis of an existing </t>
    </r>
    <r>
      <rPr>
        <i/>
        <sz val="10"/>
        <rFont val="Arial"/>
        <family val="2"/>
      </rPr>
      <t>O. vulgaris</t>
    </r>
    <r>
      <rPr>
        <sz val="10"/>
        <rFont val="Arial"/>
        <family val="2"/>
      </rPr>
      <t xml:space="preserve"> transcriptome. Candidate nociception-related genes were compiled from literature, human pain-genetics databases, and Gene Ontology, filtered to 74 candidates, and searched against the octopus transcriptome. Authors identified and curated 51 candidate </t>
    </r>
    <r>
      <rPr>
        <i/>
        <sz val="10"/>
        <rFont val="Arial"/>
        <family val="2"/>
      </rPr>
      <t>O. vulgaris</t>
    </r>
    <r>
      <rPr>
        <sz val="10"/>
        <rFont val="Arial"/>
        <family val="2"/>
      </rPr>
      <t xml:space="preserve"> genes and used existing tissue-expression information to prioritize candidates. Functional characterization was performed using </t>
    </r>
    <r>
      <rPr>
        <i/>
        <sz val="10"/>
        <rFont val="Arial"/>
        <family val="2"/>
      </rPr>
      <t>C. elegans</t>
    </r>
    <r>
      <rPr>
        <sz val="10"/>
        <rFont val="Arial"/>
        <family val="2"/>
      </rPr>
      <t xml:space="preserve"> loss-of-function mutants exposed to low-pH and other noxious cues; no octopuses were experimentally used.</t>
    </r>
  </si>
  <si>
    <r>
      <t xml:space="preserve">Identified 51 </t>
    </r>
    <r>
      <rPr>
        <i/>
        <sz val="10"/>
        <rFont val="Arial"/>
        <family val="2"/>
      </rPr>
      <t>O. vulgaris</t>
    </r>
    <r>
      <rPr>
        <sz val="10"/>
        <rFont val="Arial"/>
        <family val="2"/>
      </rPr>
      <t xml:space="preserve"> genes predicted to contribute to nociception; functional testing of corresponding </t>
    </r>
    <r>
      <rPr>
        <i/>
        <sz val="10"/>
        <rFont val="Arial"/>
        <family val="2"/>
      </rPr>
      <t>C. elegans</t>
    </r>
    <r>
      <rPr>
        <sz val="10"/>
        <rFont val="Arial"/>
        <family val="2"/>
      </rPr>
      <t xml:space="preserve"> orthologues identified 19 priority genes for future characterization of octopus nociceptive mechanisms.</t>
    </r>
  </si>
  <si>
    <t>Octopuses are treated as population-level fishery specimens for measurement of growth, condition, and recruitment; no behavior, choice, cognition, individuality, or other indication of agency is considered.</t>
  </si>
  <si>
    <t>Authors state that ethical approval was not needed for the study</t>
  </si>
  <si>
    <r>
      <t xml:space="preserve">390 </t>
    </r>
    <r>
      <rPr>
        <i/>
        <sz val="10"/>
        <rFont val="Arial"/>
        <family val="2"/>
      </rPr>
      <t>O. vulgaris</t>
    </r>
    <r>
      <rPr>
        <sz val="10"/>
        <rFont val="Arial"/>
        <family val="2"/>
      </rPr>
      <t xml:space="preserve"> (172 males, 218 females; approximately 30/month) were obtained from local fishermen and fish markets in Tripoli from January 2021 to January 2022. Fishermen reported capture by free diving and SCUBA diving from Zuwara, Az-Zāwiyah, and Tripoli along western Libya. Specimens were transported on crushed ice to the University of Tripoli, where body weight, dorsal mantle length, and sex were recorded. Length-weight relationships, growth parameters, seasonal condition, and recruitment patterns were analyzed. No experimental capture or killing was reported.</t>
    </r>
  </si>
  <si>
    <t>Western Libyan O. vulgaris showed typical Mediterranean growth patterns, seasonal variation in condition, and a pronounced late-summer recruitment pulse; the authors identify juvenile vulnerability to fishing and recommend seasonal management measures.</t>
  </si>
  <si>
    <t>Octopuses are treated as recipients of standardized captive diets; no behavior, choice, cognition, individuality, or other expression of agency is investigated.</t>
  </si>
  <si>
    <t>Nutritional profiles identify substantial variation among aquarium diets and potentially excessive dietary fat, providing welfare-relevant information about captive nutrition, although health, condition, behavior, or welfare outcomes were not directly measured.</t>
  </si>
  <si>
    <t>Diet information for 17 O. vulgaris housed at commercial European aquaria was obtained from aquarium staff, including food type, amount, feeding frequency, and individual information. Food samples representing fish, crustaceans, molluscs, and squid were obtained from SEA LIFE UK sites and commercial seafood suppliers, freeze-dried, processed, and analyzed for protein, fat, gross energy, and minerals. Nutrient data were entered into Zoo Diet Navigator to calculate the average weekly nutritional profile for each octopus. The octopuses themselves were not experimentally manipulated or directly sampled.</t>
  </si>
  <si>
    <t>Aquarium diets varied substantially in composition, feeding frequency, energy, and nutrient content. Most diets were protein-rich as expected, but many were higher in fat than recommended, highlighting the need for species-specific nutritional guidance and research linking diet to growth, development, and longevity.</t>
  </si>
  <si>
    <t>Octopuses are treated as individual foragers whose prey choices and handling behavior are directly measured. Individuals were simultaneously offered crabs of different sizes, and capture order, prey selection, handling time, and consumption were recorded, providing animals an opportunity to express feeding preferences and individual choice.</t>
  </si>
  <si>
    <t>Directly measures prey-size selection, handling efficiency, and feeding behavior. Although no statistically significant overall size preference was detected, subadult octopuses handled smaller crabs more quickly, providing insight into prey-selection and foraging decisions.</t>
  </si>
  <si>
    <t>Octopus experiments were approved by the Generalitat de Catalunya, Departament d’Acció Climàtica, Alimentació i Agenda Rural, Direcció General de Polítiques Ambientals i Medi Natural (CEA/11582/P1/1; approval stated as 15 February 2023). Authors also state that animal reuse was limited by welfare restrictions; reused octopuses received rest periods before subsequent fasting/trials. Animals were acclimated for one week and maintained under controlled temperature, salinity, dissolved oxygen, pH, and natural photoperiod. Notably, the stated approval date postdates the 2021–2022 octopus experiments.</t>
  </si>
  <si>
    <r>
      <t>O. vulgaris</t>
    </r>
    <r>
      <rPr>
        <sz val="10"/>
        <rFont val="Arial"/>
        <family val="2"/>
      </rPr>
      <t xml:space="preserve"> consumed substantial blue-crab biomass and showed high feeding efficiency. Neither size class exhibited a significant overall crab-size preference, although subadults handled smaller crabs more rapidly. The findings suggest that octopus predation could contribute to natural control of invasive blue crabs in Mediterranean ecosystems.</t>
    </r>
  </si>
  <si>
    <r>
      <t xml:space="preserve">Fifteen wild </t>
    </r>
    <r>
      <rPr>
        <i/>
        <sz val="10"/>
        <rFont val="Arial"/>
        <family val="2"/>
      </rPr>
      <t>O. vulgaris</t>
    </r>
    <r>
      <rPr>
        <sz val="10"/>
        <rFont val="Arial"/>
        <family val="2"/>
      </rPr>
      <t xml:space="preserve"> were captured using authorized traps near the Ebro Delta, Spain: 9 subadults in October 2021 and 6 adults in March 2022. Animals were transported in aerated ~250-L tanks to IRTA La Ràpita, acclimated for one week in 2000-L tanks, and maintained two per tank in separate mesh-divided compartments. Following 24-h fasting, individual octopuses were simultaneously offered blue crabs of different sizes while cameras recorded capture sequence and handling time. Animals were subsequently used in 24-h ad libitum consumption trials; some individuals were reused with prescribed rest and fasting periods. Post-study fate is not reported for octopuses, but it is for sea turtles.</t>
    </r>
  </si>
  <si>
    <t>Indonesia, England, Australia</t>
  </si>
  <si>
    <r>
      <t>O. vulgaris</t>
    </r>
    <r>
      <rPr>
        <sz val="10"/>
        <rFont val="Arial"/>
        <family val="2"/>
      </rPr>
      <t xml:space="preserve"> is represented through modeled larval dispersal and reef-connectivity patterns; no individual behavior, choice, cognition, individuality, or other expression of agency is investigated.</t>
    </r>
  </si>
  <si>
    <r>
      <t xml:space="preserve">Larval dispersal of </t>
    </r>
    <r>
      <rPr>
        <i/>
        <sz val="10"/>
        <rFont val="Arial"/>
        <family val="2"/>
      </rPr>
      <t>O. vulgaris</t>
    </r>
    <r>
      <rPr>
        <sz val="10"/>
        <rFont val="Arial"/>
        <family val="2"/>
      </rPr>
      <t xml:space="preserve"> and three commercially important reef fishes was modeled across 487 coral reef patches in Southeast Sulawesi, Indonesia, over 20 years (1993–2012) using coupled hydrodynamic and biological models. Species-specific spawning windows and pelagic larval-duration/competency parameters were obtained from published literature. Annual and 20-year mean connectivity matrices were used in Marxan to compare marine-reserve network designs, and network performance was evaluated using larval-flow protection and connectivity portfolio effects. No </t>
    </r>
    <r>
      <rPr>
        <i/>
        <sz val="10"/>
        <rFont val="Arial"/>
        <family val="2"/>
      </rPr>
      <t>O. vulgaris</t>
    </r>
    <r>
      <rPr>
        <sz val="10"/>
        <rFont val="Arial"/>
        <family val="2"/>
      </rPr>
      <t xml:space="preserve"> individuals or biological specimens were used directly.</t>
    </r>
  </si>
  <si>
    <r>
      <t>O. vulgaris</t>
    </r>
    <r>
      <rPr>
        <sz val="10"/>
        <rFont val="Arial"/>
        <family val="2"/>
      </rPr>
      <t xml:space="preserve"> showed relatively low interannual variability in modeled larval connectivity, such that reserve networks based on mean dispersal performed adequately for this species; incorporating temporal dispersal variability was more important for species with highly variable larval flow.</t>
    </r>
  </si>
  <si>
    <r>
      <t>O. vulgaris</t>
    </r>
    <r>
      <rPr>
        <sz val="10"/>
        <rFont val="Arial"/>
        <family val="2"/>
      </rPr>
      <t xml:space="preserve"> is represented through aggregated commercial landing records and modeled fishery dynamics; no individual behavior, choice, cognition, individuality, or other indication of agency is considered.</t>
    </r>
  </si>
  <si>
    <r>
      <t xml:space="preserve">Monthly </t>
    </r>
    <r>
      <rPr>
        <i/>
        <sz val="10"/>
        <rFont val="Arial"/>
        <family val="2"/>
      </rPr>
      <t>O. vulgaris</t>
    </r>
    <r>
      <rPr>
        <sz val="10"/>
        <rFont val="Arial"/>
        <family val="2"/>
      </rPr>
      <t xml:space="preserve"> first-sale commercial landing data for the Gulf of Cádiz and Alboran Sea were obtained from the Andalusian IDAPES fisheries information system for January 2000–December 2022 (n = 264 monthly records). Historical trends, seasonality, nonlinearity, autocorrelation, and temporal cycles were assessed using regression and wavelet analysis. Landings were then characterized and projected using ARIMA, ETS, NNAR, MLP, ELM, and LSTM models and ensemble forecasts. No animals or biological specimens were directly used.</t>
    </r>
  </si>
  <si>
    <r>
      <t xml:space="preserve">Andalusian </t>
    </r>
    <r>
      <rPr>
        <i/>
        <sz val="10"/>
        <rFont val="Arial"/>
        <family val="2"/>
      </rPr>
      <t>O. vulgaris</t>
    </r>
    <r>
      <rPr>
        <sz val="10"/>
        <rFont val="Arial"/>
        <family val="2"/>
      </rPr>
      <t xml:space="preserve"> landings increased historically but showed different seasonal and temporal dynamics between regions. Ensemble forecasts projected November–January peaks in the Gulf of Cádiz and June peaks in the Alboran Sea, demonstrating that combining statistical, machine-learning, and deep-learning approaches can improve fishery forecasting and management planning.</t>
    </r>
  </si>
  <si>
    <t>Octopuses are treated as population-level fishery specimens used to estimate mortality, recruitment, selectivity, biomass, and exploitation; no behavior, choice, cognition, individuality, or other indication of agency is considered.</t>
  </si>
  <si>
    <r>
      <t xml:space="preserve">A total of 14,919 </t>
    </r>
    <r>
      <rPr>
        <i/>
        <sz val="10"/>
        <rFont val="Arial"/>
        <family val="2"/>
      </rPr>
      <t>O. vulgaris</t>
    </r>
    <r>
      <rPr>
        <sz val="10"/>
        <rFont val="Arial"/>
        <family val="2"/>
      </rPr>
      <t xml:space="preserve"> (7,891 females; 7,028 males) were randomly sampled approximately weekly from 2015–2019 at the M’diq port fish market, Morocco, from routine landings by artisanal boats and trawlers operating between Fnideq and Jebha. Dorsal mantle length, total weight, sex, and visible sexual maturity stage were recorded. Length-frequency data were analyzed in FISAT II to estimate total, natural, and fishing mortality; gear selectivity; recruitment; virtual population abundance and biomass; spawning-stock biomass; exploitation rate; and yield-per-recruit reference points. No animals were captured or killed specifically for the study.</t>
    </r>
  </si>
  <si>
    <t>The Moroccan Mediterranean stock was heavily exploited, with particularly high fishing mortality on juvenile size classes and an overall exploitation rate of about 0.76. Current fishing mortality substantially exceeded estimated Fmsy, especially for trawlers, while spawning-stock biomass remained low, indicating a need to reduce fishing pressure and protect animals until at least first sexual maturity.</t>
  </si>
  <si>
    <t>Greece, Portugal</t>
  </si>
  <si>
    <t>Octopuses are primarily treated as physiological subjects whose immune responses to pathogen exposure are measured mechanistically. Behavioral changes and feeding activity were monitored as indicators of condition, but cognition, choice, individuality, or intentional behavior were not investigated.</t>
  </si>
  <si>
    <t>The study provides health- and welfare-relevant information by characterizing immune responses to bacterial pathogens and temperature, while also monitoring lesions, feeding, behavior, and mortality. However, welfare itself was not the primary experimental outcome.</t>
  </si>
  <si>
    <t>Animals were captured and maintained under applicable European and Greek legal requirements; the experimental challenge protocol was approved by the competent Regional Veterinary Authority (Decision No. 4053/14-3-2017). Animals were monitored daily for skin lesions, behavioral changes, feeding activity, and mortality. Different individuals were used at each sampling point specifically to avoid repeated-sampling stress. No anesthesia or analgesia for bacterial injection or hemolymph collection is described in the provided methods.</t>
  </si>
  <si>
    <r>
      <t xml:space="preserve">216 wild </t>
    </r>
    <r>
      <rPr>
        <i/>
        <sz val="10"/>
        <rFont val="Arial"/>
        <family val="2"/>
      </rPr>
      <t>O. vulgaris</t>
    </r>
    <r>
      <rPr>
        <sz val="10"/>
        <rFont val="Arial"/>
        <family val="2"/>
      </rPr>
      <t xml:space="preserve"> (0.450–1.115 kg) were captured alive and transported to aquaria, acclimated for 10 days at either 21 ± 0.5°C or 24 ± 0.5°C, and used across eight experiments. Animals received intramuscular injections into the second right arm or intravenous injections into the right branchial-heart ventricle with one of four live bacterial pathogens at 1 × 10⁹ cells/mL, or sterile saline controls. Hemolymph (0.5–1 mL) was collected on Days 0, 3, or 7 for total-protein and hemolysis assays. Each individual was sampled once.</t>
    </r>
  </si>
  <si>
    <r>
      <t>O. vulgaris</t>
    </r>
    <r>
      <rPr>
        <sz val="10"/>
        <rFont val="Arial"/>
        <family val="2"/>
      </rPr>
      <t xml:space="preserve"> immune responses varied according to pathogen, temperature, injection route, and time after challenge. Total hemolymph protein was high relative to other molluscs, while hemolytic activity generally remained below 25%; the findings help characterize octopus immune defenses and potential responses to fish-farm pathogens under current and warmer conditions.</t>
    </r>
  </si>
  <si>
    <t>Octopuses are treated solely as a source of processed seafood by-product; no behavior, choice, cognition, individuality, or other indication of agency is considered.</t>
  </si>
  <si>
    <r>
      <t xml:space="preserve">Commercial cooking liquor from </t>
    </r>
    <r>
      <rPr>
        <i/>
        <sz val="10"/>
        <rFont val="Arial"/>
        <family val="2"/>
      </rPr>
      <t>O. vulgaris</t>
    </r>
    <r>
      <rPr>
        <sz val="10"/>
        <rFont val="Arial"/>
        <family val="2"/>
      </rPr>
      <t xml:space="preserve"> processing was supplied by Frigoríficos Rosa de los Vientos S.L. in Spain. Octopuses had been commercially obtained from the Galician Atlantic coast, processed at approximately 98 °C after removal of non-edible parts, and the resulting cooking liquor was collected before and after industrial filtration. Three independent samples of each liquor type were analyzed for protein, lipids, ash, phospholipids, volatile base nitrogen, fatty-acid composition, and macro- and microelements. Researchers did not obtain or kill octopuses for the study.</t>
    </r>
  </si>
  <si>
    <t>Octopus cooking liquor contains substantial protein, lipids, fatty acids, minerals, and other potentially valuable constituents for pharmaceutical and nutraceutical industries. Industrial filtration substantially reduced many nutrients and elements, indicating that this processing by-product, a wastewater generated by processing, may have potential for recovery and valorization as a source of bioactive compounds.</t>
  </si>
  <si>
    <t>Reproductive development and mating are interpreted functionally, including evidence of sperm storage before full female maturity, but individuals are primarily treated as anatomical specimens and no choice, cognition, or intentional reproductive behavior is directly observed.</t>
  </si>
  <si>
    <r>
      <t xml:space="preserve">48 female </t>
    </r>
    <r>
      <rPr>
        <i/>
        <sz val="10"/>
        <rFont val="Arial"/>
        <family val="2"/>
      </rPr>
      <t>O. sinensis</t>
    </r>
    <r>
      <rPr>
        <sz val="10"/>
        <rFont val="Arial"/>
        <family val="2"/>
      </rPr>
      <t xml:space="preserve"> from the </t>
    </r>
    <r>
      <rPr>
        <i/>
        <sz val="10"/>
        <rFont val="Arial"/>
        <family val="2"/>
      </rPr>
      <t>O. vulgaris</t>
    </r>
    <r>
      <rPr>
        <sz val="10"/>
        <rFont val="Arial"/>
        <family val="2"/>
      </rPr>
      <t xml:space="preserve"> species complex were obtained from commercial fishermen operating off central Kagawa Prefecture, Japan, between August 2020 and February 2021. Animals had been caught by small trawl nets and were transported on ice to the Kagawa Prefectural Fisheries Experimental Station. Mantle length and body weight were recorded, animals were dissected, and gonad and reproductive-duct weights were measured. Ovarian tissue was fixed, sectioned, stained, and examined histologically to characterize oocyte development and female maturity. Outer follicular structures were also quantified morphometrically using blinded image analysis.</t>
    </r>
  </si>
  <si>
    <r>
      <t xml:space="preserve">Established eight histological stages of oocyte development and a four-stage female maturity scale for </t>
    </r>
    <r>
      <rPr>
        <i/>
        <sz val="10"/>
        <rFont val="Arial"/>
        <family val="2"/>
      </rPr>
      <t>O. sinensis</t>
    </r>
    <r>
      <rPr>
        <sz val="10"/>
        <rFont val="Arial"/>
        <family val="2"/>
      </rPr>
      <t>. Notably, 23.8% of immature females contained stored sperm in the oviductal glands, indicating that mating can occur before females reach full reproductive maturity and providing baseline information relevant to fishery management.</t>
    </r>
  </si>
  <si>
    <t>Octopuses are treated as biological specimens for geographic provenance and seafood traceability analysis; no behavior, choice, cognition, individuality, or other indication of agency is considered.</t>
  </si>
  <si>
    <r>
      <t xml:space="preserve">A structured sample of 450 </t>
    </r>
    <r>
      <rPr>
        <i/>
        <sz val="10"/>
        <rFont val="Arial"/>
        <family val="2"/>
      </rPr>
      <t>O. vulgaris</t>
    </r>
    <r>
      <rPr>
        <sz val="10"/>
        <rFont val="Arial"/>
        <family val="2"/>
      </rPr>
      <t xml:space="preserve"> was collected by commercial fishers from five predefined fishing areas along the Portuguese Atlantic coast during three sampling events: September–October 2020, April 2021, and September–October 2021, with 30 individuals per site per sampling event. Animals were immediately transported on ice to the laboratory, individually weighed and dissected for muscle tissue. Freeze-dried muscle was analyzed by total-reflection X-ray fluorescence to obtain elemental concentrations and spectral fingerprints. Multiple machine-learning classifiers were trained to predict geographic capture area and assess seasonal effects on provenance classification. The predetermined site × season sampling design indicates that animals were collected specifically to generate the study dataset rather than obtained opportunistically from an existing market sample.</t>
    </r>
  </si>
  <si>
    <r>
      <t xml:space="preserve">Elemental and spectral fingerprints could distinguish the geographic provenance of Portuguese </t>
    </r>
    <r>
      <rPr>
        <i/>
        <sz val="10"/>
        <rFont val="Arial"/>
        <family val="2"/>
      </rPr>
      <t>O. vulgaris</t>
    </r>
    <r>
      <rPr>
        <sz val="10"/>
        <rFont val="Arial"/>
        <family val="2"/>
      </rPr>
      <t>, although model performance varied substantially by season. September produced the strongest classification, with Random Forest elemental fingerprints reaching an F1 score of 73%, and arsenic was consistently important for differentiating capture areas.</t>
    </r>
  </si>
  <si>
    <t>Biomimetics &amp; Technological Design</t>
  </si>
  <si>
    <t>Octopuses are observed as freely behaving animals whose coordinated arm use is interpreted as flexible, adaptive, and functionally specialized. Agency is implied through exploration, foraging, locomotion, prey manipulation, and simultaneous multi-arm actions, but cognition, decision-making, or individuality is not directly investigated.</t>
  </si>
  <si>
    <t>The study demonstrates extensive behavioral and sensorimotor flexibility, including simultaneous actions across different arms, functional partitioning between anterior and posterior arms, and localized deformation patterns. These findings provide indirect insight into flexible behavioral control but do not directly investigate cognition, subjective experience, or welfare.</t>
  </si>
  <si>
    <t>No explicit welfare, ethical approval, or cephalopod-specific welfare recognition is reported. Animals were freely moving in the wild, habituated to divers, and observed without capture, restraint, or manipulation.</t>
  </si>
  <si>
    <t>Observation In-Situ</t>
  </si>
  <si>
    <r>
      <t xml:space="preserve">Field videos of 25 freely moving octopuses were collected from six sites in Spain and the Caribbean/western Atlantic between 2007 and 2015. Species included </t>
    </r>
    <r>
      <rPr>
        <i/>
        <sz val="10"/>
        <rFont val="Arial"/>
        <family val="2"/>
      </rPr>
      <t>O. vulgaris</t>
    </r>
    <r>
      <rPr>
        <sz val="10"/>
        <rFont val="Arial"/>
        <family val="2"/>
      </rPr>
      <t xml:space="preserve"> sensu stricto, </t>
    </r>
    <r>
      <rPr>
        <i/>
        <sz val="10"/>
        <rFont val="Arial"/>
        <family val="2"/>
      </rPr>
      <t>O. americanus</t>
    </r>
    <r>
      <rPr>
        <sz val="10"/>
        <rFont val="Arial"/>
        <family val="2"/>
      </rPr>
      <t xml:space="preserve"> of the </t>
    </r>
    <r>
      <rPr>
        <i/>
        <sz val="10"/>
        <rFont val="Arial"/>
        <family val="2"/>
      </rPr>
      <t>O. vulgaris</t>
    </r>
    <r>
      <rPr>
        <sz val="10"/>
        <rFont val="Arial"/>
        <family val="2"/>
      </rPr>
      <t xml:space="preserve"> species complex, and </t>
    </r>
    <r>
      <rPr>
        <i/>
        <sz val="10"/>
        <rFont val="Arial"/>
        <family val="2"/>
      </rPr>
      <t>O. insularis</t>
    </r>
    <r>
      <rPr>
        <sz val="10"/>
        <rFont val="Arial"/>
        <family val="2"/>
      </rPr>
      <t>. Researchers constructed a hierarchical ethogram linking 15 whole-animal behaviors to 12 arm actions and four basic arm deformations: bending, shortening, elongation, and torsion. One-minute video segments from each individual were analyzed frame-by-frame, with each arm scored separately. The study quantified 3,907 arm-action occurrences and 6,871 deformation occurrences and compared the field results with an earlier laboratory study.</t>
    </r>
  </si>
  <si>
    <t>All eight arms were capable of the full range of observed actions and deformations, but arm use showed functional partitioning: anterior arms performed more exploratory and manipulative actions, while posterior arms contributed more to locomotion. Different arm regions also showed distinct deformation patterns. The results demonstrate extensive motor flexibility and coordination under natural conditions and provide principles potentially applicable to soft-robotic design.</t>
  </si>
  <si>
    <t>Octopuses are treated primarily as physiological subjects whose innate immune responses to pathogen exposure are measured mechanistically. Behavioral changes and food intake were monitored as health indicators, but cognition, choice, or intentional behavior were not investigated.</t>
  </si>
  <si>
    <t>The study provides welfare-relevant information about disease susceptibility, immune function, temperature effects, and health status under aquaculture-relevant pathogen exposure, but does not directly investigate welfare or affective state.</t>
  </si>
  <si>
    <t>Experimental protocol approved by the Regional Veterinary Authority and conducted under Directive 2010/63/EU and associated Greek permits. Animals were monitored daily for behavioral changes, skin lesions, food intake, and mortality. Different individuals were sampled at each time point to avoid handling stress. Octopuses were anesthetized in 5% magnesium chloride before handling and hemolymph sampling. Sampling was non-lethal except at Day 7, when animals were euthanized for tissue collection. Surviving animals were monitored for 15 days and released to their natural habitat under local regulations and animal welfare guidelines.</t>
  </si>
  <si>
    <r>
      <t xml:space="preserve">216 wild </t>
    </r>
    <r>
      <rPr>
        <i/>
        <sz val="10"/>
        <rFont val="Arial"/>
        <family val="2"/>
      </rPr>
      <t>O. vulgaris</t>
    </r>
    <r>
      <rPr>
        <sz val="10"/>
        <rFont val="Arial"/>
        <family val="2"/>
      </rPr>
      <t xml:space="preserve"> (34 females, 182 males) were captured alive by a fisherman using pots near Lesvos, Greece, transported individually with aeration, and acclimated for 10 days. Animals were maintained at 21 ± 0.5°C or 24 ± 0.5°C and injected either intramuscularly in the second right arm or intravenously into the right branchial-heart ventricle with one of four bacterial pathogens or sterile saline controls. Hemolymph was collected on Days 0, 3, and 7 and analyzed for lysozyme activity. Day-7 animals were euthanized for tissue collection; other survivors were monitored and released.</t>
    </r>
  </si>
  <si>
    <r>
      <t xml:space="preserve">Lysozyme activity varied with pathogen, injection route, temperature, and time after challenge, with especially strong responses to </t>
    </r>
    <r>
      <rPr>
        <i/>
        <sz val="10"/>
        <rFont val="Arial"/>
        <family val="2"/>
      </rPr>
      <t>Photobacterium</t>
    </r>
    <r>
      <rPr>
        <sz val="10"/>
        <rFont val="Arial"/>
        <family val="2"/>
      </rPr>
      <t xml:space="preserve"> species and more prolonged responses at 24°C. The results state lysozyme as a useful innate immune biomarker and provide information relevant to disease monitoring and health management in octopus aquaculture.</t>
    </r>
  </si>
  <si>
    <t>Paralarvae are treated primarily as developing aquaculture subjects whose growth, survival, biochemical condition, and physiological responses to diet are measured. The study addresses health and stress physiology but does not investigate choice, cognition, individuality, or intentional behavior.</t>
  </si>
  <si>
    <t>The study directly measures physiological indicators relevant to health and stress, including lipid peroxidation, antioxidant enzyme activity, growth, survival, and fatty-acid status, to determine whether dietary bioactive compounds protect paralarvae during captive rearing.</t>
  </si>
  <si>
    <t>All experimental work was approved by the CSIC Bioethics Committee (CEIBA 1377-2023) and conducted under Spanish Law 53/2013 and Directive 2010/63/EU. Paralarvae collected for biochemical analysis were anesthetized in cold seawater below 2°C and euthanized by freezing in liquid nitrogen.</t>
  </si>
  <si>
    <t>Wild broodstock from local fisheries in the Ría de Vigo were maintained under controlled conditions and used to produce paralarvae. Hatchlings were stocked at 500 individuals per 100-L tank in nine tanks, giving three replicate tanks for each of three dietary treatments. Paralarvae were reared for 30 days and fed Artemia enriched with marine lecithin alone, supplemented with 10% Hytolive®, or supplemented with 30% black cumin seed oil. Growth and survival were measured, and paralarvae sampled at 10, 20, and 30 dph were euthanized for fatty-acid, antioxidant-enzyme, lipid-peroxidation, and metabolite analyses. Pools of 15 paralarvae per tank were used for antioxidant and lipid-peroxidation assays.</t>
  </si>
  <si>
    <r>
      <t xml:space="preserve">Supplementation with Hytolive® or black cumin seed oil did not significantly improve growth or survival but reduced lipid peroxidation at 30 dph and altered paralarval fatty-acid profiles. The study also demonstrated transfer of hydroxytyrosol- and thymoquinone-related metabolites through enriched </t>
    </r>
    <r>
      <rPr>
        <i/>
        <sz val="10"/>
        <rFont val="Arial"/>
        <family val="2"/>
      </rPr>
      <t>Artemia</t>
    </r>
    <r>
      <rPr>
        <sz val="10"/>
        <rFont val="Arial"/>
        <family val="2"/>
      </rPr>
      <t>, suggesting that bioactive dietary supplementation may improve physiological resilience during early-stage octopus culture.</t>
    </r>
  </si>
  <si>
    <t>Paralarvae are treated primarily as developing aquaculture subjects whose digestive physiology, nutrient reserves, growth, and response to diet are measured mechanistically. No cognition, choice, individuality, or intentional behavior is investigated.</t>
  </si>
  <si>
    <t>The study provides health-relevant physiological information by showing how diet affects digestive enzyme activity, nutrient reserves, and growth during early development, but cognition, affective state, pain, or welfare are not directly investigated.</t>
  </si>
  <si>
    <t>Research was conducted under Directive 2010/63/EU and the Spanish Institute of Oceanography’s registered animal-use authorization. Paralarvae collected for analysis were anesthetized in 2% MgCl₂ and euthanized in 4% MgCl₂; death was confirmed by absence of motility before further processing.</t>
  </si>
  <si>
    <r>
      <t xml:space="preserve">Paralarvae produced by one captive-spawning female were reared for 27 days in six 500-L tanks, with 2,000 paralarvae per tank and three replicate tanks per dietary treatment. Treatments were </t>
    </r>
    <r>
      <rPr>
        <i/>
        <sz val="10"/>
        <rFont val="Arial"/>
        <family val="2"/>
      </rPr>
      <t>Artemia</t>
    </r>
    <r>
      <rPr>
        <sz val="10"/>
        <rFont val="Arial"/>
        <family val="2"/>
      </rPr>
      <t xml:space="preserve"> alone or </t>
    </r>
    <r>
      <rPr>
        <i/>
        <sz val="10"/>
        <rFont val="Arial"/>
        <family val="2"/>
      </rPr>
      <t>Artemia</t>
    </r>
    <r>
      <rPr>
        <sz val="10"/>
        <rFont val="Arial"/>
        <family val="2"/>
      </rPr>
      <t xml:space="preserve"> plus a formulated microparticulate diet containing squid, crab, and fish-silage ingredients. Fifty paralarvae per tank were sampled every 3 days from 0–27 DAH for digestive-enzyme and nutrient-reserve analyses; additional individuals were sampled for growth measurements. Acid and alkaline proteases, lipase, glucose, cholesterol, triglycerides, soluble protein, mantle length, dry weight, and specific growth rate were assessed.</t>
    </r>
  </si>
  <si>
    <t>12,000 paralarvae initially stocked; 1 broodstock female</t>
  </si>
  <si>
    <r>
      <t xml:space="preserve">The combined </t>
    </r>
    <r>
      <rPr>
        <i/>
        <sz val="10"/>
        <rFont val="Arial"/>
        <family val="2"/>
      </rPr>
      <t>Artemia</t>
    </r>
    <r>
      <rPr>
        <sz val="10"/>
        <rFont val="Arial"/>
        <family val="2"/>
      </rPr>
      <t xml:space="preserve"> + microparticulate diet produced higher digestive-enzyme activity, greater nutrient reserves, and significantly improved growth relative to </t>
    </r>
    <r>
      <rPr>
        <i/>
        <sz val="10"/>
        <rFont val="Arial"/>
        <family val="2"/>
      </rPr>
      <t>Artemia</t>
    </r>
    <r>
      <rPr>
        <sz val="10"/>
        <rFont val="Arial"/>
        <family val="2"/>
      </rPr>
      <t xml:space="preserve"> alone. The results support development of formulated diets better matched to digestive-system maturation during the difficult paralarval phase of </t>
    </r>
    <r>
      <rPr>
        <i/>
        <sz val="10"/>
        <rFont val="Arial"/>
        <family val="2"/>
      </rPr>
      <t>O. vulgaris</t>
    </r>
    <r>
      <rPr>
        <sz val="10"/>
        <rFont val="Arial"/>
        <family val="2"/>
      </rPr>
      <t xml:space="preserve"> culture.</t>
    </r>
  </si>
  <si>
    <t>Octopuses are treated primarily as biological subjects whose body condition, maturation, spawning phenology, and recruitment responses to changing temperature are assessed at the population level. Reproductive processes are interpreted functionally, but individual choice, cognition, or intentional behavior is not investigated.</t>
  </si>
  <si>
    <t>O. sinensis were sampled in Bisan-Seto, Japan, during 1999–2001 and 2019–2021 using small commercial trawls. Adults were transported refrigerated, measured for mantle length and body weight, dissected, sexed, and gonads removed and weighed to calculate GSI and determine maturation status. Researchers were specifically permitted to retain octopuses under 200 g that would normally have been released. Separate plankton surveys collected paralarvae using bottom-towed nets; samples were immediately fixed in 5% formalin and counted. Historical and recent datasets were compared with seawater-temperature records to assess changes in body condition, maturation, spawning season, and paralarval abundance.</t>
  </si>
  <si>
    <t>4,144 adults; paralarval number not reported</t>
  </si>
  <si>
    <t>4,500 paralarvae initially stocked; broodstock number not fully reported</t>
  </si>
  <si>
    <r>
      <t xml:space="preserve">Compared with 1999–2001, </t>
    </r>
    <r>
      <rPr>
        <i/>
        <sz val="10"/>
        <rFont val="Arial"/>
        <family val="2"/>
      </rPr>
      <t>O. sinensis</t>
    </r>
    <r>
      <rPr>
        <sz val="10"/>
        <rFont val="Arial"/>
        <family val="2"/>
      </rPr>
      <t xml:space="preserve"> in 2019–2021 showed poorer body condition, altered female maturation patterns, and an apparent shift in spawning from a September peak toward spring and late autumn. October paralarval abundance declined by more than an order of magnitude. The results suggest that increasing summer water temperatures are disrupting reproductive timing and recruitment in the Seto Inland Sea.</t>
    </r>
  </si>
  <si>
    <t>Octopuses are treated as commercial seafood specimens whose muscle chemistry is used to determine geographic provenance; no behavior, choice, cognition, individuality, or other indication of agency is considered.</t>
  </si>
  <si>
    <t>Lipid profiles differed among landing sites, and elevated LPE/PE and LPC/PC ratios in Santa Luzia specimens were interpreted as potentially reflecting physiological stress or degradation. This provides limited welfare-relevant physiological information, but stress or welfare was not directly investigated.</t>
  </si>
  <si>
    <t>Authors explicitly state that all octopuses had been collected, slaughtered, and refrigerated by licensed professional fishers before landing and were already dead when obtained; therefore, they considered animal-experimentation and welfare requirements inapplicable to the study.</t>
  </si>
  <si>
    <r>
      <t xml:space="preserve">Thirty commercially landed </t>
    </r>
    <r>
      <rPr>
        <i/>
        <sz val="10"/>
        <rFont val="Arial"/>
        <family val="2"/>
      </rPr>
      <t>O. vulgaris</t>
    </r>
    <r>
      <rPr>
        <sz val="10"/>
        <rFont val="Arial"/>
        <family val="2"/>
      </rPr>
      <t xml:space="preserve"> were sampled in summer 2018 from three Iberian Atlantic landing sites: Ría de Arousa, Spain; Peniche, Portugal; and Santa Luzia, Portugal (10 individuals/site). Animals had already been killed by professional fishers before landing. The fourth right arm was excised, frozen, freeze-dried, and analyzed for total lipids, phospholipids, and polar lipid composition using HILIC-LC-MS/MS. Multivariate and univariate analyses were used to identify lipid signatures capable of discriminating geographic origin.</t>
    </r>
  </si>
  <si>
    <r>
      <t xml:space="preserve">Polar lipidomic profiles differed among the three landing areas and could discriminate geographic provenance. Ether-linked phospholipids and CAEP were particularly informative, supporting lipidomics as a potential seafood traceability and origin-authentication tool for </t>
    </r>
    <r>
      <rPr>
        <i/>
        <sz val="10"/>
        <rFont val="Arial"/>
        <family val="2"/>
      </rPr>
      <t>O. vulgaris</t>
    </r>
    <r>
      <rPr>
        <sz val="10"/>
        <rFont val="Arial"/>
        <family val="2"/>
      </rPr>
      <t>.</t>
    </r>
  </si>
  <si>
    <t>Octopuses are treated primarily as fishery-stock specimens whose maturation, spawning, size structure, and seasonal occurrence are quantified for management purposes. Reproductive processes are interpreted functionally, but individual choice, cognition, or intentional behavior is not investigated.</t>
  </si>
  <si>
    <t>Authors state that the specimens underwent no animal experimentation, were obtained from catches by professional fishers, and complied with Korean regulations concerning octopus discarding. No anesthesia, euthanasia, pain mitigation, or cephalopod-specific welfare measures are reported.</t>
  </si>
  <si>
    <r>
      <t xml:space="preserve">Fishery production statistics from 2006–2024 and monthly Deukryang Bay catch records from 2019–2024 were analyzed to assess seasonal catch dynamics and effects of the fishing closure. In addition, 407 </t>
    </r>
    <r>
      <rPr>
        <i/>
        <sz val="10"/>
        <rFont val="Arial"/>
        <family val="2"/>
      </rPr>
      <t>O. sinensis</t>
    </r>
    <r>
      <rPr>
        <sz val="10"/>
        <rFont val="Arial"/>
        <family val="2"/>
      </rPr>
      <t xml:space="preserve"> (183 females, 224 males) from professional pot and coastal-trap fisheries were examined during 2023. Mantle length, body weight, gonad weight, sex ratio, GSI, and reproductive stage were recorded. Logistic regression estimated 50%, 75%, and 97.5% maturity weights, and water-temperature data were used to interpret spawning-season patterns.</t>
    </r>
  </si>
  <si>
    <t>Catch patterns changed around the seasonal fishing closure, while spawning extended from April to August with bimodal peaks. The estimated 50% maturity weight was 549.5 g, and the high prevalence of smaller individuals after the closure led the authors to recommend a minimum catch-weight regulation to better protect immature animals and improve stock sustainability.</t>
  </si>
  <si>
    <t>Females are treated primarily as broodstock whose ovarian maturation, growth, and spawning timing are physiologically monitored. Reproductive processes are interpreted functionally, but cognition, individual choice, or intentional behavior is not investigated.</t>
  </si>
  <si>
    <t>Cultured animals were studied under Spanish Law 53/2013, Directive 2010/63/EU, and Fiorito et al. cephalopod care and welfare guidelines, with approval from the competent ethics authority. Captive females were provided dens, egg presence was checked only weekly to minimize disturbance, and animals were anesthetized with 1.5–2% ethanol for handling and ultrasonography and monitored during recovery. Wild specimens were commercially caught and therefore did not require ethical approval.</t>
  </si>
  <si>
    <t>Fifteen wild-caught females were maintained as broodstock for 54–163 days and repeatedly monitored non-invasively by ultrasonography to estimate ovarian volume and ultrasonographic GSI; 37 ultrasound measurements were obtained. Females were anesthetized during scanning, weighed, returned to water, and followed until spawning. Separately, 51 commercially landed wild females were dissected for reproductive measurements; 12 of these also underwent ultrasonography so ultrasound-derived ovarian volume could be validated against actual ovarian volume. Relationships among GSIU, spawning time, and growth were modeled to develop a practical spawning-prediction tool.</t>
  </si>
  <si>
    <t>66 total: 15 cultured + 51 commercially caught wild females; 12 wild females underwent ultrasonography</t>
  </si>
  <si>
    <t>Ultrasonographic ovarian volume closely reflected actual ovarian volume and provided a non-invasive indicator of reproductive maturation. Increasing GSIU strongly predicted decreasing time to spawning, providing hatcheries with a method to anticipate egg laying and schedule broodstock, tank, and hatchery resources more effectively.</t>
  </si>
  <si>
    <t>Octopuses are treated as seafood products whose nutritional composition, quality, and safety are evaluated for human consumption; no behavior, cognition, choice, individuality, or other indication of agency is considered.</t>
  </si>
  <si>
    <r>
      <t xml:space="preserve">Algarve </t>
    </r>
    <r>
      <rPr>
        <i/>
        <sz val="10"/>
        <rFont val="Arial"/>
        <family val="2"/>
      </rPr>
      <t>O. vulgaris</t>
    </r>
    <r>
      <rPr>
        <sz val="10"/>
        <rFont val="Arial"/>
        <family val="2"/>
      </rPr>
      <t xml:space="preserve"> was characterized as a nutritionally valuable and safe seafood product, with high-quality protein, essential amino acids and micronutrients, favorable fatty-acid characteristics, and contaminant concentrations well below regulatory limits. The study supports seafood quality assessment and consumer confidence in sustainably harvested Algarve octopus.</t>
    </r>
  </si>
  <si>
    <t>240-320 individuals</t>
  </si>
  <si>
    <t xml:space="preserve">Animals were eviscerated and frozen immediately after landing following normal industry practice. </t>
  </si>
  <si>
    <r>
      <t xml:space="preserve">Commercially harvested </t>
    </r>
    <r>
      <rPr>
        <i/>
        <sz val="10"/>
        <rFont val="Arial"/>
        <family val="2"/>
      </rPr>
      <t>O. vulgaris</t>
    </r>
    <r>
      <rPr>
        <sz val="10"/>
        <rFont val="Arial"/>
        <family val="2"/>
      </rPr>
      <t xml:space="preserve"> from the Algarve small-scale fishery were sampled from two fishing areas, Alvor and Fuzeta, over four seasonal periods between December 2022 and December 2023. Eight composite samples were analyzed in total, four per region, with 3–4 octopuses per sample. Animals were eviscerated and frozen immediately after landing following normal industry practice. Laboratory analyses assessed proximate composition, amino acids, vitamins, minerals, fatty-acid profiles and nutritional indices, microbiological quality, regulated contaminants, biogenic amines, freshness indicators, marine biotoxins, and other potential food-safety risks. Regional differences were evaluated statistically. 8 samples × 2 regions × 5 sampling periods = 80 samples. Each sample contained 3–4 individual octopuses, giving: 80 × 3 = 240 individuals minimum; 80 × 4 = 320 individuals maximum</t>
    </r>
  </si>
  <si>
    <t>Octopuses are treated primarily as fishery-stock specimens whose maturation, spawning cycle, sex composition, and size at maturity are quantified to inform harvest management. Reproductive processes are interpreted functionally, but individual choice, cognition, or intentional behavior is not investigated.</t>
  </si>
  <si>
    <r>
      <t xml:space="preserve">A total of 1,596 </t>
    </r>
    <r>
      <rPr>
        <i/>
        <sz val="10"/>
        <rFont val="Arial"/>
        <family val="2"/>
      </rPr>
      <t>O. vulgaris</t>
    </r>
    <r>
      <rPr>
        <sz val="10"/>
        <rFont val="Arial"/>
        <family val="2"/>
      </rPr>
      <t xml:space="preserve"> (852 males, 744 females) were randomly sampled from routine commercial landings at four Gulf of Valencia ports between September 2022 and August 2024, primarily from pot fisheries and secondarily from bottom trawlers. Sampling was stratified by commercial weight class. Body weight, eviscerated weight, mantle length, sex, gonad and reproductive-duct weights, and maturity stage were recorded. Reproductive indices, weight and length at maturity, sex ratios, SST relationships, and historical CPUE data were analyzed to determine whether existing provincial fishing closures coincide with the reproductive peak.</t>
    </r>
  </si>
  <si>
    <t>The female reproductive peak occurred mainly from June to August, later than previously reported, while existing provincial closures did not consistently protect these critical months. The study recommends realigning closures with female spawning, monitoring maturity in-season, and considering complementary effort limits and protection of brooding females to reduce recruitment overfishing.</t>
  </si>
  <si>
    <t>Octopuses are treated as commercial seafood specimens and sources of edible and processing-waste tissues; no behavior, cognition, choice, individuality, or other indication of agency is considered.</t>
  </si>
  <si>
    <r>
      <t xml:space="preserve">72 commercially caught </t>
    </r>
    <r>
      <rPr>
        <i/>
        <sz val="10"/>
        <rFont val="Arial"/>
        <family val="2"/>
      </rPr>
      <t>O. vulgaris</t>
    </r>
    <r>
      <rPr>
        <sz val="10"/>
        <rFont val="Arial"/>
        <family val="2"/>
      </rPr>
      <t xml:space="preserve"> from the Galician coast were supplied by Frigoríficos Rosa de los Vientos S.L. Animals were divided into three weight classes (1–2, 2–3, and 3–4 kg; 24 individuals/group). Arm, mantle, and viscera were separated and subjected to raw, cooked, frozen, or cooked-plus-frozen treatments. Macro- and microelements were quantified by ICP-MS to evaluate tissue differences and effects of cooking and frozen storage. Samples were analyzed as pooled independent batches.</t>
    </r>
  </si>
  <si>
    <t>Element composition differed substantially among tissues and processing treatments. Viscera contained particularly high concentrations of several microelements, supporting their potential valorization as a source of essential elements rather than disposal as processing waste, while cooking and frozen storage altered some mineral concentrations in edible tissues.</t>
  </si>
  <si>
    <t>Octopuses are treated primarily as sensory and neurophysiological subjects whose photoreceptor systems are characterized mechanistically. The study interprets suckers and optic lobes as components of distributed light sensing, but does not directly investigate individual choice, cognition, or intentional behavior.</t>
  </si>
  <si>
    <t>Research was conducted under Directive 2010/63/EU, Italian Legislative Decree 26/2014, and the principles of Reduction, Refinement, and Replacement, with project and protocol approval. The three animals were anesthetized using 1% MgCl₂ plus 1% isoflurane for 15 min before tissue dissection.</t>
  </si>
  <si>
    <t>Photoreceptor-related genes were expressed not only in the retina and skin but also in different sucker types and optic lobes. The findings support a distributed extraocular light-sensing system in which suckers may gather environmental light information and optic lobes may participate directly in photodetection, with possible relevance to rapid camouflage and visually guided behavior.</t>
  </si>
  <si>
    <r>
      <t xml:space="preserve">Three adult </t>
    </r>
    <r>
      <rPr>
        <i/>
        <sz val="10"/>
        <rFont val="Arial"/>
        <family val="2"/>
      </rPr>
      <t>O. vulgaris</t>
    </r>
    <r>
      <rPr>
        <sz val="10"/>
        <rFont val="Arial"/>
        <family val="2"/>
      </rPr>
      <t xml:space="preserve"> from the Bay of Naples were transferred to Di Cosmo's cephalopod facility at the Department of Biology, University of Naples Federico II, and anesthetized using 1% MgCl2 and 1% isoflurane insufflation for 15 mins before dissection. Retina, optic lobes, skin, four sucker types, and branchial heart were collected for RNA analysis. RT-PCR and qPCR quantified rhodopsin, retinochrome, and rhodopsin-kinase expression; whole-mount in situ hybridization localized transcripts in suckers and optic lobes. Existing protein sequences were also subjected to phylogenetic analysis, molecular-evolution comparisons, and 3D structural modeling.</t>
    </r>
  </si>
  <si>
    <r>
      <t>O. vulgaris</t>
    </r>
    <r>
      <rPr>
        <sz val="10"/>
        <rFont val="Arial"/>
        <family val="2"/>
      </rPr>
      <t xml:space="preserve"> is represented as a fishery and ecological population whose perceived abundance trend is reported by fishers; no individual behavior, cognition, choice, or other indication of agency is directly examined.</t>
    </r>
  </si>
  <si>
    <t>No octopus welfare recognition or animal-use procedures are applicable because no octopuses were directly observed, captured, handled, or sampled. Human interview participants were informed of the study purpose, data were anonymized, and interviews proceeded after verbal consent.</t>
  </si>
  <si>
    <r>
      <t xml:space="preserve">Local ecological knowledge was collected through face-to-face interviews with 88 fishers in Viana do Castelo and Castelo de Neiva, Portugal, during September–October 2022, including 57 professional and 31 recreational fishers. Interviews addressed fishing activity, temporal trends of target species, habitat preferences, species interactions, ecological perceptions, and spatial fishing areas. Fishing grounds were mapped in QGIS and perceptions were analyzed statistically. For </t>
    </r>
    <r>
      <rPr>
        <i/>
        <sz val="10"/>
        <rFont val="Arial"/>
        <family val="2"/>
      </rPr>
      <t>O. vulgaris</t>
    </r>
    <r>
      <rPr>
        <sz val="10"/>
        <rFont val="Arial"/>
        <family val="2"/>
      </rPr>
      <t>, 98% of professional fishers and 58% of recreational fishers reported a decline. No octopus individuals or biological specimens were used.</t>
    </r>
  </si>
  <si>
    <r>
      <t xml:space="preserve">Fishers' local ecological knowledge (LEK) indicated a perceived decline in </t>
    </r>
    <r>
      <rPr>
        <i/>
        <sz val="10"/>
        <rFont val="Arial"/>
        <family val="2"/>
      </rPr>
      <t>O. vulgaris</t>
    </r>
    <r>
      <rPr>
        <sz val="10"/>
        <rFont val="Arial"/>
        <family val="2"/>
      </rPr>
      <t>, particularly among professional fishers, while also identifying fishing hotspots, habitat preferences, and broader temporal ecological changes that may help guide management in this data-limited coastal fishery.</t>
    </r>
  </si>
  <si>
    <t>Juveniles are treated as active decision-makers that selectively use, manipulate, and position bivalve shells as shelters, adjust their behavior in response to approaching divers, and employ camouflage and alternative escape strategies. The authors explicitly interpret shell selection as potentially involving cognitive assessment of protective benefits and risks.</t>
  </si>
  <si>
    <r>
      <t xml:space="preserve">The study provides direct naturalistic evidence of flexible shelter selection and modification, visual surveillance, camouflage, threat-responsive behavior, and bipedal escape. The authors explicitly discuss behavioral flexibility, learning, innovation, problem-solving, and possible cognitive assessment in juvenile </t>
    </r>
    <r>
      <rPr>
        <i/>
        <sz val="10"/>
        <rFont val="Arial"/>
        <family val="2"/>
      </rPr>
      <t>O. vulgaris</t>
    </r>
    <r>
      <rPr>
        <sz val="10"/>
        <rFont val="Arial"/>
        <family val="2"/>
      </rPr>
      <t>.</t>
    </r>
  </si>
  <si>
    <t>Authors state that no animal testing was performed. No octopuses were captured, handled, restrained, or experimentally manipulated.</t>
  </si>
  <si>
    <r>
      <t xml:space="preserve">Eight SCUBA dives were conducted during four expeditions between May 2022 and June 2023 on sandy bottoms of the Cíes Islands, NW Spain, as part of the ECOSUMA project. Four experienced divers conducted parallel belt transects at 5–10 m depth, with dives lasting ~70 min, while inspecting empty shells close to the seabed. Nine juvenile </t>
    </r>
    <r>
      <rPr>
        <i/>
        <sz val="10"/>
        <rFont val="Arial"/>
        <family val="2"/>
      </rPr>
      <t>O. vulgaris</t>
    </r>
    <r>
      <rPr>
        <sz val="10"/>
        <rFont val="Arial"/>
        <family val="2"/>
      </rPr>
      <t xml:space="preserve"> were located and photographed in situ. Estimated mantle lengths were 33–42 mm. Six juveniles occupied clam or razor-clam shells and three larger juveniles occupied spiny cockle shells. Seven remained within shelters during observation; two left their shelters and displayed cryptic posturing, bipedal locomotion, and subsequent jet propulsion. Shell manipulation, valve closing/reopening, camouflage, orientation within shells, and threat responses were documented photographically; mantle length was estimated from shell size using Fiji when possible.</t>
    </r>
  </si>
  <si>
    <t>Juvenile O. vulgaris in structurally sparse sandy habitats used appropriately sized empty bivalve shells as temporary refuges, actively manipulated shells to increase protection, positioned themselves to maintain visual surveillance, matched their coloration to surrounding material, and used bipedal locomotion when escaping. The observations indicate substantial behavioral flexibility and suggest that shelter selection may involve assessment of competing risks and benefits.</t>
  </si>
  <si>
    <r>
      <t xml:space="preserve">The study explicitly develops and validates gastrointestinal parasite load as a non-invasive indicator of captive health and welfare, proposing fecal qPCR detection of </t>
    </r>
    <r>
      <rPr>
        <i/>
        <sz val="10"/>
        <rFont val="Arial"/>
        <family val="2"/>
      </rPr>
      <t>Aggregata octopiana</t>
    </r>
    <r>
      <rPr>
        <sz val="10"/>
        <rFont val="Arial"/>
        <family val="2"/>
      </rPr>
      <t xml:space="preserve"> as an Operational Welfare Indicator.</t>
    </r>
  </si>
  <si>
    <r>
      <t xml:space="preserve">A non-invasive fecal qPCR method was developed to rapidly detect and quantify </t>
    </r>
    <r>
      <rPr>
        <i/>
        <sz val="10"/>
        <rFont val="Arial"/>
        <family val="2"/>
      </rPr>
      <t>A. octopiana</t>
    </r>
    <r>
      <rPr>
        <sz val="10"/>
        <rFont val="Arial"/>
        <family val="2"/>
      </rPr>
      <t xml:space="preserve"> infection in captive </t>
    </r>
    <r>
      <rPr>
        <i/>
        <sz val="10"/>
        <rFont val="Arial"/>
        <family val="2"/>
      </rPr>
      <t>O. vulgaris</t>
    </r>
    <r>
      <rPr>
        <sz val="10"/>
        <rFont val="Arial"/>
        <family val="2"/>
      </rPr>
      <t>. The method was validated against microscopy and used to define low, medium, and high parasite loads, supporting its use as an Operational Welfare Indicator for aquarium and aquaculture settings.</t>
    </r>
  </si>
  <si>
    <t>Transport, housing, and handling were explicitly conducted according to animal-welfare principles. The authors applied the 3Rs strategy (Reduce, Refine, Reuse), followed Fiorito et al. cephalopod care and welfare guidelines, complied with Directive 2010/63/EU, and obtained approval from the Spanish National Competent Authority. Animals were individually maintained under controlled aquarium conditions with daily husbandry checks. The authors explicitly designed fecal qPCR as a non-invasive alternative to histological methods that can compromise animal integrity and welfare, emphasizing minimal harm, reduced sampling stress, early disease detection, and its use as an Operational Welfare Indicator.</t>
  </si>
  <si>
    <t>Nine wild-caught adult O. vulgaris (6 females, 3 males; 950–1300 g) were collected by professional fishers using cages in the Ría de Vigo and transferred to the IIM-CSIC experimental aquarium facility. Animals were individually maintained in 500-L tanks under controlled temperature, photoperiod, recirculating seawater, and feeding conditions. Thirty-six naturally voided fecal samples were collected non-invasively from tank bottoms, beginning the day after arrival and then weekly over approximately one month. A. octopiana infection was quantified by light microscopy and a newly developed 18S rRNA qPCR assay, with low, medium, and high infection thresholds established. An unidentified necropsied specimen supplied parasite material used to construct the qPCR standard; the paper does not state whether this specimen was one of the nine study animals. Post-study fate of the nine octopuses is not reported.</t>
  </si>
  <si>
    <t>Octopuses are treated as commercial seafood specimens and sources of edible and processing-waste tissues for compositional analysis; no behavior, cognition, choice, individuality, or other indication of agency is considered.</t>
  </si>
  <si>
    <t>No ethical approval, welfare procedures, anesthesia, euthanasia method, or cephalopod-specific welfare recognition are reported. Specimens were commercially sourced and supplied by a seafood-processing company.</t>
  </si>
  <si>
    <r>
      <t xml:space="preserve">Seventy-two </t>
    </r>
    <r>
      <rPr>
        <i/>
        <sz val="10"/>
        <rFont val="Arial"/>
        <family val="2"/>
      </rPr>
      <t>O. vulgaris</t>
    </r>
    <r>
      <rPr>
        <sz val="10"/>
        <rFont val="Arial"/>
        <family val="2"/>
      </rPr>
      <t xml:space="preserve"> obtained near the Galician coast were supplied by Frigoríficos Rosa de los Vientos S.L. and divided into three body-weight groups: 1–2, 2–3, and 3–4 kg, with 24 individuals per group. Viscera, mantle, and arm tissues were separated. Mantle and arm samples were analyzed raw, frozen for four months at −18°C, cooked for 40 min at 90°C, or cooked and subsequently frozen; viscera were analyzed raw or after frozen storage. Lipids were extracted using the Bligh and Dyer method, and fatty-acid profiles were quantified by gas chromatography. Biological replicates consisted of pooled tissues from two individuals for mantle/arm samples and four individuals for viscera samples.</t>
    </r>
  </si>
  <si>
    <t>All tissues contained nutritionally valuable lipid profiles dominated by PUFAs, although edible tissues generally contained more ω3-PUFAs and DHA than viscera, while viscera contained more EPA. Cooking and frozen storage generally reduced PUFA and ω3-PUFA proportions. The results support valorization of octopus viscera, normally treated as processing waste, as a potential source of valuable fatty acids for food and pharmaceutical applications.</t>
  </si>
  <si>
    <t>Octopuses are treated as population-genetic units used to characterize diversity and connectivity of an exploited fishery resource; no behavior, cognition, choice, individuality, or other indication of agency is investigated.</t>
  </si>
  <si>
    <t>No explicit welfare recognition, anesthesia, analgesia, ethical approval, or cephalopod-specific welfare procedures are reported in the supplied methods.</t>
  </si>
  <si>
    <r>
      <t xml:space="preserve">Fifty-four octopuses were sampled from ten locations across Puerto Rico between October 2020 and October 2021 while snorkeling with assistance from local fishers. Fishers retained the captured octopuses, and researchers removed approximately 3–6 cm from the tip of one arm from each animal for genetic analysis. Samples were preserved in 95% ethanol, kept on ice, and later frozen at −80°C. Eleven samples were excluded because of poor DNA quality, leaving 43 individuals for ddRADseq. DNA was digested with </t>
    </r>
    <r>
      <rPr>
        <i/>
        <sz val="10"/>
        <rFont val="Arial"/>
        <family val="2"/>
      </rPr>
      <t>EcoRI</t>
    </r>
    <r>
      <rPr>
        <sz val="10"/>
        <rFont val="Arial"/>
        <family val="2"/>
      </rPr>
      <t xml:space="preserve"> and </t>
    </r>
    <r>
      <rPr>
        <i/>
        <sz val="10"/>
        <rFont val="Arial"/>
        <family val="2"/>
      </rPr>
      <t>SphI</t>
    </r>
    <r>
      <rPr>
        <sz val="10"/>
        <rFont val="Arial"/>
        <family val="2"/>
      </rPr>
      <t xml:space="preserve">, sequenced on an Illumina NovaSeq platform, aligned to an </t>
    </r>
    <r>
      <rPr>
        <i/>
        <sz val="10"/>
        <rFont val="Arial"/>
        <family val="2"/>
      </rPr>
      <t>O. vulgaris</t>
    </r>
    <r>
      <rPr>
        <sz val="10"/>
        <rFont val="Arial"/>
        <family val="2"/>
      </rPr>
      <t xml:space="preserve"> reference genome, and analyzed using &gt;2,000 polymorphic loci for population structure, genetic diversity, connectivity, PCA, AMOVA, and </t>
    </r>
    <r>
      <rPr>
        <i/>
        <sz val="10"/>
        <rFont val="Arial"/>
        <family val="2"/>
      </rPr>
      <t>F</t>
    </r>
    <r>
      <rPr>
        <sz val="10"/>
        <rFont val="Arial"/>
        <family val="2"/>
      </rPr>
      <t>ST. The fishers retained the animals after sampling; release is not reported.</t>
    </r>
  </si>
  <si>
    <t>Genomic analyses found high connectivity and little population differentiation among northern, southern, and eastern Puerto Rico, consistent with a single admixed population, while genetic diversity was moderate. The findings provide baseline population-genetic information relevant to management of the Puerto Rican octopus fishery.</t>
  </si>
  <si>
    <t>Cognition &amp; Behavioral Research</t>
  </si>
  <si>
    <r>
      <t xml:space="preserve">A single male </t>
    </r>
    <r>
      <rPr>
        <i/>
        <sz val="10"/>
        <rFont val="Arial"/>
        <family val="2"/>
      </rPr>
      <t>O. vulgaris</t>
    </r>
    <r>
      <rPr>
        <sz val="10"/>
        <rFont val="Arial"/>
        <family val="2"/>
      </rPr>
      <t xml:space="preserve"> with a naturally occurring bifurcated R1 arm and evidence of previous injuries to R1–R4 and L1 was repeatedly filmed in situ in Ibiza, Spain. More than 10 h of footage from 23 videos spanning 147 days were analyzed. During approximately 2-h dusk dives, researchers slowly approached and followed the animal from ~0.5 m without capture or handling. Six dens used by the individual were identified within the study area. Behavioral events and use/non-use of each of the nine arms were coded frame-by-frame in BORIS using an ethogram. Behaviors were grouped into categories including foraging, exploration, locomotion, under-web actions, and safe versus risky behaviors. Redundancy analyses and binomial GLMs tested arm specialization, differences between bifurcated branches R1a and R1b, and changes in arm use over time.</t>
    </r>
  </si>
  <si>
    <t>Injured and regenerated arms were used more in safe than risky behaviors, with usage corresponding to injury severity. The authors interpret this as potentially indicating trauma- or pain-related memory, a memory-driven behavioral response, and experience-driven adjustment in motor output, relating their findings to previous evidence of avoidance learning, wound-directed behavior, and pain processing in octopuses.  The two branches of the bifurcated R1 arm were used differently, with evidence of early functional specialization that changed as the animal grew. Bifurcated and regenerated arms were used disproportionately during safer behaviors, particularly when injury severity was greater. The results suggest substantial behavioral compensation following injury and raise the possibility that abnormal regeneration may be accompanied by neural differentiation or post-traumatic plasticity.</t>
  </si>
  <si>
    <t>Behavioral changes following severe arm injury are substantively interpreted as potentially reflecting trauma- or pain-associated memory, avoidance learning, and altered motor output associated with previous injury. "may suggest the persistence of a potential trauma or pain-related memory."</t>
  </si>
  <si>
    <t>Octopuses are treated primarily as physiological subjects whose circulating immune cells are collected and characterized. Immune function and stress-related cellular responses are investigated mechanistically, without examining cognition, behavioral choice, or intentional agency.</t>
  </si>
  <si>
    <t>The study provides welfare-relevant information by developing a method that preserves viable, functional immune cells for extended periods and may reduce repeated live-animal sampling while facilitating study of immune health. However, welfare state or health outcomes in the octopuses themselves are not directly measured.</t>
  </si>
  <si>
    <t>Transport, housing, handling, and experimentation followed Spanish RD53/2013, Directive 2010/63/EU, and Fiorito et al. cephalopod welfare guidelines, with approval from the National Competent Authority. Procedures were performed by qualified personnel under the 3Rs. Animals were anesthetized for hemolymph collection, returned to their tanks afterward, and monitored under increased aeration for 15–30 min until recovery. A maximum of 1 mL hemolymph was collected per sampling, with at least 6 days between repeated collections specifically to restore baseline conditions and maintain welfare.</t>
  </si>
  <si>
    <t>MAS medium supplemented with ethylene glycol provided the best hemocyte cryopreservation conditions, maintaining &gt;80% viability after 15 weeks at −80°C. Cryopreserved cells retained phagocytic capacity comparable to fresh cells, while an 18-h post-thaw acclimation restored stress-related gene-expression patterns toward those of fresh hemocytes. The protocol enables longer-term functional study of O. vulgaris immune cells and may reduce logistical constraints and repeated collection from live animals.</t>
  </si>
  <si>
    <t>Octopuses are treated as sources of collagen for biochemical and material characterization; no behavior, cognition, choice, individuality, or other indication of agency is considered.</t>
  </si>
  <si>
    <t>The paper includes an ethical statement concerning the rights, privacy, consent, and coercion of human participants, but no human participants are described in the study. It does not provide animal-welfare recognition, ethical approval for animal use, anesthesia, euthanasia procedures, or cephalopod-specific welfare measures.</t>
  </si>
  <si>
    <r>
      <t xml:space="preserve">Frozen adult </t>
    </r>
    <r>
      <rPr>
        <i/>
        <sz val="10"/>
        <rFont val="Arial"/>
        <family val="2"/>
      </rPr>
      <t>O. vulgaris</t>
    </r>
    <r>
      <rPr>
        <sz val="10"/>
        <rFont val="Arial"/>
        <family val="2"/>
      </rPr>
      <t xml:space="preserve"> and </t>
    </r>
    <r>
      <rPr>
        <i/>
        <sz val="10"/>
        <rFont val="Arial"/>
        <family val="2"/>
      </rPr>
      <t>D. gigas</t>
    </r>
    <r>
      <rPr>
        <sz val="10"/>
        <rFont val="Arial"/>
        <family val="2"/>
      </rPr>
      <t xml:space="preserve"> were purchased from a local market in Hermosillo, Sonora, Mexico and transported on ice to the University of Sonora Seafood Laboratory. Six frozen adult </t>
    </r>
    <r>
      <rPr>
        <i/>
        <sz val="10"/>
        <rFont val="Arial"/>
        <family val="2"/>
      </rPr>
      <t>O. vulgaris</t>
    </r>
    <r>
      <rPr>
        <sz val="10"/>
        <rFont val="Arial"/>
        <family val="2"/>
      </rPr>
      <t xml:space="preserve"> specimens appear to have been used, with arm tissue divided into three batches. Collagen was extracted from arm connective tissue using alkaline treatment, acetic acid and pepsin, followed by size-exclusion and ion-exchange chromatography. Collagen was characterized using protein quantification, SDS-PAGE, amino-acid profiling, fluorescence spectroscopy, ^1H NMR, estimation of pyridinoline crosslinking, and rheological analysis to assess viscosity and material properties.</t>
    </r>
  </si>
  <si>
    <r>
      <t>O. vulgaris</t>
    </r>
    <r>
      <rPr>
        <sz val="10"/>
        <rFont val="Arial"/>
        <family val="2"/>
      </rPr>
      <t xml:space="preserve"> arm collagen contained pyridinoline crosslinks and exhibited pseudoplastic rheological behavior. Differences in crosslinking between octopus and jumbo squid collagen did not produce corresponding differences in viscosity under the tested conditions, providing information relevant to selecting and engineering marine collagen for applied uses.</t>
    </r>
  </si>
  <si>
    <r>
      <t>O. vulgaris</t>
    </r>
    <r>
      <rPr>
        <sz val="10"/>
        <rFont val="Arial"/>
        <family val="2"/>
      </rPr>
      <t xml:space="preserve"> is represented only through an industrial cooking by-product and treated as a seafood resource for compositional and valorization analysis; no behavior, cognition, choice, or individuality is considered.</t>
    </r>
  </si>
  <si>
    <r>
      <t xml:space="preserve">No octopus-specific ethical approval, welfare procedures, or welfare recognition are reported. The </t>
    </r>
    <r>
      <rPr>
        <i/>
        <sz val="10"/>
        <rFont val="Arial"/>
        <family val="2"/>
      </rPr>
      <t>O. vulgaris</t>
    </r>
    <r>
      <rPr>
        <sz val="10"/>
        <rFont val="Arial"/>
        <family val="2"/>
      </rPr>
      <t xml:space="preserve"> material was an existing cooking broth generated by commercial seafood processing.</t>
    </r>
  </si>
  <si>
    <r>
      <t xml:space="preserve">The study characterizes the nutritional composition and potential valorization of seafood-processing by-products. For </t>
    </r>
    <r>
      <rPr>
        <i/>
        <sz val="10"/>
        <rFont val="Arial"/>
        <family val="2"/>
      </rPr>
      <t>O. vulgaris</t>
    </r>
    <r>
      <rPr>
        <sz val="10"/>
        <rFont val="Arial"/>
        <family val="2"/>
      </rPr>
      <t>, the analyzed material was cooking broth, demonstrating that an otherwise underutilized industrial by-product can contain recoverable nutritional components relevant to circular use of seafood-processing waste.</t>
    </r>
  </si>
  <si>
    <r>
      <t xml:space="preserve">One sample of </t>
    </r>
    <r>
      <rPr>
        <i/>
        <sz val="10"/>
        <rFont val="Arial"/>
        <family val="2"/>
      </rPr>
      <t>O. vulgaris</t>
    </r>
    <r>
      <rPr>
        <sz val="10"/>
        <rFont val="Arial"/>
        <family val="2"/>
      </rPr>
      <t xml:space="preserve"> cooking-broth (may include more than one individual) was supplied by a privately owned canned fish and shellfish company. The octopus originated from Morocco and was part of commercial processing material collected between July 2023 and January 2024. Octopus broth was generated industrially by repeated boiling, with at least four cooking cycles per day and approximately 2.5 days of broth reuse before renewal. The broth was cooled, frozen, transported at −18°C, freeze-dried, and homogenized. Analyses included proximate composition, protein and amino-acid profiles, protein-quality indices, lipid and fatty-acid profiles, nutritional lipid indices, carbohydrates, and mineral composition.</t>
    </r>
  </si>
  <si>
    <t>Octopuses are portrayed as active predators whose behavior can influence invasive-prey populations. Predation is interpreted as adaptive ecological behavior, but cognition, choice, learning, or individual decision-making are not directly investigated.</t>
  </si>
  <si>
    <t>The study documents natural predation and predator-prey interactions but does not substantively investigate cognition, pain, affective state, sentience, or welfare.</t>
  </si>
  <si>
    <t>Authors state that this was an observational study initiated from citizen-science observations and that the IIM-CSIC Research Ethics Committee confirmed no ethical approval was required. No explicit welfare, pain, suffering, or mitigation language is reported.</t>
  </si>
  <si>
    <r>
      <t xml:space="preserve">Three independent wild predation events involving </t>
    </r>
    <r>
      <rPr>
        <i/>
        <sz val="10"/>
        <rFont val="Arial"/>
        <family val="2"/>
      </rPr>
      <t>O. vulgaris</t>
    </r>
    <r>
      <rPr>
        <sz val="10"/>
        <rFont val="Arial"/>
        <family val="2"/>
      </rPr>
      <t xml:space="preserve"> and invasive Atlantic blue crab (</t>
    </r>
    <r>
      <rPr>
        <i/>
        <sz val="10"/>
        <rFont val="Arial"/>
        <family val="2"/>
      </rPr>
      <t>Callinectes sapidus</t>
    </r>
    <r>
      <rPr>
        <sz val="10"/>
        <rFont val="Arial"/>
        <family val="2"/>
      </rPr>
      <t>) were documented along the Spanish Mediterranean coast between 2019 and 2022. Two interactions were filmed by recreational spearfishers using a GoPro and one was photographed by a recreational SCUBA diver. Octopus and crab dimensions were estimated from images using Fiji and known reference objects; octopus weight was estimated from mantle length. Crab remains from the third observation were collected and measured. Octopuses were not captured, handled, restrained, or experimentally manipulated.</t>
    </r>
  </si>
  <si>
    <r>
      <t xml:space="preserve">Provides the first documented wild observations of </t>
    </r>
    <r>
      <rPr>
        <i/>
        <sz val="10"/>
        <rFont val="Arial"/>
        <family val="2"/>
      </rPr>
      <t>O. vulgaris</t>
    </r>
    <r>
      <rPr>
        <sz val="10"/>
        <rFont val="Arial"/>
        <family val="2"/>
      </rPr>
      <t xml:space="preserve"> preying on invasive </t>
    </r>
    <r>
      <rPr>
        <i/>
        <sz val="10"/>
        <rFont val="Arial"/>
        <family val="2"/>
      </rPr>
      <t>C. sapidus</t>
    </r>
    <r>
      <rPr>
        <sz val="10"/>
        <rFont val="Arial"/>
        <family val="2"/>
      </rPr>
      <t xml:space="preserve"> in the Mediterranean and suggests that native octopus predation may contribute to biological resistance or control of the expanding blue-crab population, with potential relevance to invasive-species management.</t>
    </r>
  </si>
  <si>
    <t>The study treats octopuses as behaviorally responsive individuals whose welfare state can be assessed through vitality, chromatophore patterns, posture, predatory behavior, and problem-solving ability. Behavioral responsiveness and problem-solving are explicitly incorporated into evaluation of stress and acclimation.</t>
  </si>
  <si>
    <t>The study directly investigates fishing-associated stress and recovery using behavioral, morphological, and molecular indicators. It links capture stress to altered expression of ER, CAT, and HSP70 and argues that acclimation is necessary to restore welfare before octopuses are used in physiological or behavioral research.</t>
  </si>
  <si>
    <t>Procedures followed Directive 2010/63/EU, Italian Legislative Decree 26/2014, and the 3Rs, with Italian Ministry of Health approval. Control animals were housed individually in enriched tanks with dens and rocks, fed ad libitum, and monitored for physiological and behavioral indicators of welfare. Chromatophore pattern, posture, predatory strategy, and problem-solving ability were assessed to confirm absence of stress and successful acclimation. Animals were anesthetized with MgCl₂ followed by isoflurane before tissue collection.</t>
  </si>
  <si>
    <r>
      <t xml:space="preserve">Twenty-nine commercially landed </t>
    </r>
    <r>
      <rPr>
        <i/>
        <sz val="10"/>
        <rFont val="Arial"/>
        <family val="2"/>
      </rPr>
      <t>O. vulgaris</t>
    </r>
    <r>
      <rPr>
        <sz val="10"/>
        <rFont val="Arial"/>
        <family val="2"/>
      </rPr>
      <t xml:space="preserve"> were initially examined for morphometrics and fishing-related stress indicators including vitality, mantle bruising, arm mutilation, visual and tactile responsiveness, feeding response, and coloration. Sixteen were transferred to the University of Naples cephalopod facility. Twelve formed the freshly fished group and were anesthetized shortly after transfer; four formed the control group and were individually housed in enriched tanks and acclimated for 15 days. During acclimation, control animals were monitored for chromatophore pattern, posture, predatory behavior, and problem-solving using screw-top jars containing live prey. After anesthesia, arm tips and gonads were dissected for COXI identification and RT-qPCR analysis of ER, CAT, and HSP70 expression. Final post-procedure disposition is not explicitly stated.</t>
    </r>
  </si>
  <si>
    <t>29 observed; 16 used for tissue/gene-expression comparison</t>
  </si>
  <si>
    <t>Fishing capture produced measurable morphological, behavioral, and gene-expression signs of stress. Differences between freshly fished and acclimated animals indicate that capture effects persist beyond landing, supporting a post-capture acclimation period before octopuses are used experimentally. The authors argue that this improves both animal welfare and the reliability of subsequent physiological and behavioral research.</t>
  </si>
  <si>
    <t>Morocco, Spain</t>
  </si>
  <si>
    <t>Octopuses are treated as biological organisms whose tissues accumulate and regulate trace metals. The study examines physiological bioaccumulation processes and relationships with body size, sex, and maturity, but does not investigate cognition, behavioral choice, or intentional agency.</t>
  </si>
  <si>
    <t>The study characterizes tissue-specific accumulation of environmental contaminants but does not investigate pain, stress, affective state, sentience, cognition, or welfare consequences of metal exposure.</t>
  </si>
  <si>
    <r>
      <t xml:space="preserve">Sixty </t>
    </r>
    <r>
      <rPr>
        <i/>
        <sz val="10"/>
        <rFont val="Arial"/>
        <family val="2"/>
      </rPr>
      <t>O. vulgaris</t>
    </r>
    <r>
      <rPr>
        <sz val="10"/>
        <rFont val="Arial"/>
        <family val="2"/>
      </rPr>
      <t xml:space="preserve"> were specifically collected along the northwestern Atlantic coast of Morocco from March to July 2022 by fishermen using clay pots, traps, and hand jigs. Animals were placed in a cold box at 4 °C and transported to the laboratory. Total weight and dorsal mantle length were measured; sex and maturity were determined following evisceration. Digestive gland and mantle/arm muscle were removed individually, dried, acid-digested, and analyzed for Cd, Cr, Cu, and Zn by atomic absorption spectrophotometry. Tissue concentrations were compared by sex, maturity, and biometric traits, and metal ratios were examined to assess bioaccumulation dynamics and interactions among metals.</t>
    </r>
  </si>
  <si>
    <t>Trace metals accumulated very differently between tissues, with digestive glands containing substantially higher concentrations, especially Cd, which reached levels up to 702 times those in muscle. Cd and Cu accumulation in the digestive gland varied with body size, while sex and maturity stage had little effect. The results clarify metal partitioning and support the potential use of O. vulgaris as a bioindicator of coastal metal contamination.</t>
  </si>
  <si>
    <t xml:space="preserve">Bangladesh </t>
  </si>
  <si>
    <r>
      <t>O. vulgaris</t>
    </r>
    <r>
      <rPr>
        <sz val="10"/>
        <rFont val="Arial"/>
        <family val="2"/>
      </rPr>
      <t xml:space="preserve"> is treated as a biological matrix for measuring environmental microplastic contamination and seafood-associated exposure; no behavior, cognition, choice, or individuality is examined.</t>
    </r>
  </si>
  <si>
    <t>The study measures microplastic burden in octopus tissue but does not assess physiological effects, stress, pain, cognition, affective state, or welfare consequences in the animals.</t>
  </si>
  <si>
    <t>No octopus-specific ethical approval, welfare procedures, anesthesia, euthanasia methods, or welfare considerations are reported. Biota were obtained from local fishers and markets.</t>
  </si>
  <si>
    <r>
      <t xml:space="preserve">Marine biota were sampled from Kuakata, Bangladesh, based on commercial availability, economic value, local demand, and feeding ecology. In total, 81 biota specimens representing 27 species, including </t>
    </r>
    <r>
      <rPr>
        <i/>
        <sz val="10"/>
        <rFont val="Arial"/>
        <family val="2"/>
      </rPr>
      <t>O. vulgaris</t>
    </r>
    <r>
      <rPr>
        <sz val="10"/>
        <rFont val="Arial"/>
        <family val="2"/>
      </rPr>
      <t>, were obtained from local fishermen and markets, wrapped in aluminum foil, transported on ice, and stored at −20°C. Specimens were washed, weighed and measured, and biological material was processed for microplastic extraction. MPs were quantified by stereomicroscopy, characterized by size, color and shape, and polymer identity was confirmed using ATR-FTIR. The study integrated biotic contamination with surface-water and sediment measurements and calculated pollution, polymer-risk, ecological-risk, and human seafood-exposure indices.</t>
    </r>
  </si>
  <si>
    <r>
      <t>O. vulgaris</t>
    </r>
    <r>
      <rPr>
        <sz val="10"/>
        <rFont val="Arial"/>
        <family val="2"/>
      </rPr>
      <t xml:space="preserve"> was among the molluscs with the highest microplastic burdens. The study demonstrates transfer and accumulation of MPs across water, sediment, and commercially relevant marine biota and uses seafood contamination data to estimate human dietary exposure, linking marine pollution with ecological and public-health risk.</t>
    </r>
  </si>
  <si>
    <t>The study provides detailed information on male reproductive biology but does not investigate cognition, pain, stress, affective state, sentience, or welfare.</t>
  </si>
  <si>
    <t>No animal-welfare statement, ethical approval, anesthesia, euthanasia procedure, cephalopod-specific welfare guidance, or other explicit welfare recognition is reported. The published article simply states that adult males were collected using octopus pots and subsequently dissected.</t>
  </si>
  <si>
    <t>Spermatogenesis was characterized from spermatogonia through mature sperm, documenting formation of the acrosome, flagellum, mitochondrial sheath, axoneme, outer dense fibers, and fibrous sheath. Sperm retained the same basic structure in the testis, spermatophore, and following spermatophoric release, but cytoplasm surrounding the head was lost after the spermatophoric reaction, exposing the helical acrosome. The morphology is interpreted as an adaptation for internal fertilization and long-term sperm storage in females.</t>
  </si>
  <si>
    <r>
      <t xml:space="preserve">A total of 295 adult male </t>
    </r>
    <r>
      <rPr>
        <i/>
        <sz val="10"/>
        <rFont val="Arial"/>
        <family val="2"/>
      </rPr>
      <t>O. vulgaris</t>
    </r>
    <r>
      <rPr>
        <sz val="10"/>
        <rFont val="Arial"/>
        <family val="2"/>
      </rPr>
      <t xml:space="preserve"> (mean weight 434.8 ± 294.1 g) were collected using octopus pots in Yeosu, South Korea, from May 2022 to July 2023. Animals were dissected and testes and spermatophores were processed for light microscopy, SEM, and TEM. Histology characterized spermatogonia, spermatocytes, spermatids, and mature sperm; electron microscopy examined sperm ultrastructure in the testis and spermatophore and after experimentally inducing the spermatophoric reaction. Image analysis quantified germ-cell dimensions and nuclear-to-cytoplasmic ratios. Never states how they were killed, so "D" is conservative. </t>
    </r>
  </si>
  <si>
    <t>D*</t>
  </si>
  <si>
    <t>China</t>
  </si>
  <si>
    <t>Chemosensory responses are investigated mechanistically through receptor-gene identification and expression. The study considers sensory detection and feeding-related physiological regulation, but not cognition, choice, learning, or intentional behavior.</t>
  </si>
  <si>
    <t>The study identifies molecular mechanisms potentially underlying chemical sensing and feeding regulation during settlement, but does not investigate cognition, pain, affective state, sentience, or welfare outcomes.</t>
  </si>
  <si>
    <t>Procedures were approved by the Chinese Academy of Fishery Sciences IACUC and conducted under Chinese laboratory-animal guidelines and Directive 2010/63/EU, with the authors explicitly stating that cephalopod sampling procedures ensured humane treatment. Adults and paralarvae were deeply anesthetized in 20 g/L MgCl₂ before sampling; tissue collection proceeded only after complete loss of reflex responses in adults.</t>
  </si>
  <si>
    <r>
      <t xml:space="preserve">For adult tissue-expression work, 10 </t>
    </r>
    <r>
      <rPr>
        <i/>
        <sz val="10"/>
        <rFont val="Arial"/>
        <family val="2"/>
      </rPr>
      <t>O. sinensis</t>
    </r>
    <r>
      <rPr>
        <sz val="10"/>
        <rFont val="Arial"/>
        <family val="2"/>
      </rPr>
      <t xml:space="preserve"> were obtained from a fishing wharf and acclimated for two weeks in enriched aquaculture tanks; 3 healthy individuals were selected and deeply anesthetized before brain, optic lobe, skin, olfactory organ, sucker, and sucker-epithelium collection. Separately, 20 adult </t>
    </r>
    <r>
      <rPr>
        <i/>
        <sz val="10"/>
        <rFont val="Arial"/>
        <family val="2"/>
      </rPr>
      <t>O. sinensis</t>
    </r>
    <r>
      <rPr>
        <sz val="10"/>
        <rFont val="Arial"/>
        <family val="2"/>
      </rPr>
      <t xml:space="preserve"> broodstock were obtained from another fishery wharf and maintained in aquaculture conditions; three females spawned. Paralarvae were reared and sampled at 0, 5, 10, 15, 20, and 25 days after hatching, with 20 individuals per time point. Paralarvae were deeply anesthetized and transferred to RNAlater for transcriptomic analysis. Genome-wide OR, IR, and AR receptor families were characterized across several octopod species, including </t>
    </r>
    <r>
      <rPr>
        <i/>
        <sz val="10"/>
        <rFont val="Arial"/>
        <family val="2"/>
      </rPr>
      <t>O. vulgaris</t>
    </r>
    <r>
      <rPr>
        <sz val="10"/>
        <rFont val="Arial"/>
        <family val="2"/>
      </rPr>
      <t xml:space="preserve"> using existing genomic/transcriptomic datasets. Expression patterns were analyzed by RNA-seq and selected genes validated by qPCR.</t>
    </r>
  </si>
  <si>
    <r>
      <t xml:space="preserve">Chemosensory receptor expression changes substantially during the planktonic-to-benthic transition. RYamide receptor, CCKAR, and FFAR4 emerged as candidate regulators of settlement, all linked to feeding regulation. The authors propose that chemical cues may alter feeding-related physiology during settlement and that identifying these pathways could improve artificial seed production and reduce the major mortality bottleneck in </t>
    </r>
    <r>
      <rPr>
        <i/>
        <sz val="10"/>
        <rFont val="Arial"/>
        <family val="2"/>
      </rPr>
      <t>O. sinensis</t>
    </r>
    <r>
      <rPr>
        <sz val="10"/>
        <rFont val="Arial"/>
        <family val="2"/>
      </rPr>
      <t xml:space="preserve"> aquaculture.</t>
    </r>
  </si>
  <si>
    <r>
      <t xml:space="preserve">The study directly tests whether vertebrate corticosteroids can serve as physiological indicators of stress and welfare in </t>
    </r>
    <r>
      <rPr>
        <i/>
        <sz val="10"/>
        <rFont val="Arial"/>
        <family val="2"/>
      </rPr>
      <t>O. vulgaris</t>
    </r>
    <r>
      <rPr>
        <sz val="10"/>
        <rFont val="Arial"/>
        <family val="2"/>
      </rPr>
      <t>. It finds no evidence that cortisol, cortisone, or corticosterone mediate the octopus stress response, showing that vertebrate-derived corticosteroid welfare biomarkers are inappropriate for this species.</t>
    </r>
  </si>
  <si>
    <t>Animals were housed and handled according to welfare principles, with explicit attention to the 3Rs and reduction of animal numbers. Tanks contained shelters, stones, and structures for cognitive enrichment. Hemolymph sampling was performed under MgCl₂/ethanol anesthesia, and animals were euthanized with an overdose of the same agents before organ dissection. Procedures followed published cephalopod care and welfare guidelines and Directive 2010/63/EU under approved experimental authorizations.</t>
  </si>
  <si>
    <r>
      <t xml:space="preserve">Twenty-two 1-year-old, fifth-generation captive-reared </t>
    </r>
    <r>
      <rPr>
        <i/>
        <sz val="10"/>
        <rFont val="Arial"/>
        <family val="2"/>
      </rPr>
      <t>O. vulgaris</t>
    </r>
    <r>
      <rPr>
        <sz val="10"/>
        <rFont val="Arial"/>
        <family val="2"/>
      </rPr>
      <t xml:space="preserve"> (11 females, 11 males; ~0.8–1 kg) were maintained at the Pescanova Biomarine Center under controlled conditions with shelters and enrichment. Experiment 1 used 10 animals exposed to a 3-min net-chasing stressor, followed 60 min later by anesthesia and posterior-vein hemolymph sampling for LC-MS/MS analysis of cortisol, cortisone, corticosterone, and E₂. Experiment 2 used 4 animals individually confined in 100-L tanks and exposed to a 3-min handling stress, with water sampled over 24 h to test steroid release. Experiment 3 used 8 animals exposed for 24 h to water containing either corticosteroids or isotopically labeled cortisol and E₂ to quantify steroid uptake. Animals were subsequently euthanized under anesthetic overdose, and tissues including muscle, gonads, digestive gland, systemic heart, and gills were dissected for steroid analysis.</t>
    </r>
  </si>
  <si>
    <r>
      <t>O. vulgaris</t>
    </r>
    <r>
      <rPr>
        <sz val="10"/>
        <rFont val="Arial"/>
        <family val="2"/>
      </rPr>
      <t xml:space="preserve"> did not show detectable cortisol, cortisone, or corticosterone production or consistent release following experimentally induced stress, indicating that its stress response is unlikely to be mediated by vertebrate-like corticosteroids. Octopuses absorbed very little cortisol from water but absorbed ~92% of available E₂ (17β-estradiol, the principal estrogen hormone in vertebrates) over 24 h, raising questions about the origin and interpretation of previously reported E₂ in cephalopods. This suggests that if E₂ is detected in octopus tissues, it may not necessarily mean the octopus produced it internally. Some of it could have been taken up from the environment.</t>
    </r>
  </si>
  <si>
    <t>The octopus is considered primarily through its health and pathological condition, including a history of poor appetite and severe disease. These are biologically meaningful responses, but cognition, choice, individuality, or intentional behavior are not investigated.</t>
  </si>
  <si>
    <t>The octopus had been housed individually according to standard UK aquarium recommendations, including a 1000+ L tank, controlled temperature and lighting, strong water flow, and environmental stimulation. The animal was found dead unexpectedly and was subsequently fixed and submitted for pathology. No explicit animal-welfare, ethical-approval, pain, suffering, or welfare-monitoring statement is made in relation to the study itself.</t>
  </si>
  <si>
    <r>
      <t xml:space="preserve">One 1-year-old male </t>
    </r>
    <r>
      <rPr>
        <i/>
        <sz val="10"/>
        <rFont val="Arial"/>
        <family val="2"/>
      </rPr>
      <t>O. vulgaris</t>
    </r>
    <r>
      <rPr>
        <sz val="10"/>
        <rFont val="Arial"/>
        <family val="2"/>
      </rPr>
      <t xml:space="preserve"> from a UK aquarium, with a history of poor appetite since arrival, was found dead unexpectedly in its tank. The deceased animal was partially incised, fixed whole in 10% neutral-buffered formalin-seawater for 10 days, and submitted for gross and histopathological examination. Necropsy identified extensive gastrointestinal nodules and other lesions; histology characterized coccidial stages throughout the alimentary tract and associated tissue damage and inflammatory responses. The authors used the case and accompanying gross and histological images as an educational reference for aquatic veterinarians, pathologists, and aquarists.</t>
    </r>
  </si>
  <si>
    <r>
      <t xml:space="preserve">Severe coccidiosis was associated with widespread gastrointestinal infection, mucosal damage, inflammation, and ulceration and was considered a likely contributor to the octopus's poor appetite and death. Chronic kidney disease and dermatitis were additional contributing conditions. The case shows what severe coccidiosis can look like macroscopically and histologically in a captive </t>
    </r>
    <r>
      <rPr>
        <i/>
        <sz val="10"/>
        <rFont val="Arial"/>
        <family val="2"/>
      </rPr>
      <t>O. vulgaris</t>
    </r>
    <r>
      <rPr>
        <sz val="10"/>
        <rFont val="Arial"/>
        <family val="2"/>
      </rPr>
      <t>, giving veterinarians and aquarists practical reference features for recognizing and diagnosing this common disease in octopuses under human care.</t>
    </r>
  </si>
  <si>
    <r>
      <t>O. vulgaris</t>
    </r>
    <r>
      <rPr>
        <sz val="10"/>
        <rFont val="Arial"/>
        <family val="2"/>
      </rPr>
      <t xml:space="preserve"> is portrayed as behaviorally flexible in responding to anthropogenically altered habitat, including selecting marine litter for egg laying and modifying a den with discarded fishing material. These behaviors imply adaptive environmental use, but cognition, learning, or deliberate decision-making are not directly tested.</t>
    </r>
  </si>
  <si>
    <t>The observations provide evidence that octopuses can alter reproductive and shelter-use behavior in response to human-made objects in their environment. This is relevant to behavioral flexibility and agency, but cognition or welfare is not directly investigated.</t>
  </si>
  <si>
    <t>The authors state that underwater observations were conducted without disturbing animals or their surroundings. In the citizen-science case, only external measurements and total weight of the bin containing the brooding female and eggs were taken specifically “to avoid causing damage to the developing eggs,” after which the bin, female, and eggs were returned to the sea at the collection site. Ethical approval was deemed unnecessary because the research was observational and involved no sampling or intended disturbance.</t>
  </si>
  <si>
    <r>
      <t xml:space="preserve">Three opportunistic interactions between cephalopods and marine litter were documented in the Strait of Messina region during 2023 using direct diving observations and citizen-science reports. Two involved </t>
    </r>
    <r>
      <rPr>
        <i/>
        <sz val="10"/>
        <rFont val="Arial"/>
        <family val="2"/>
      </rPr>
      <t>O. vulgaris</t>
    </r>
    <r>
      <rPr>
        <sz val="10"/>
        <rFont val="Arial"/>
        <family val="2"/>
      </rPr>
      <t>: one brooding female had laid eggs inside a discarded plastic bin, and another individual used an artificial fishing lure to enhance its den. The plastic-bin observation originated from an incidental recovery during routine artisanal fishing; researchers did not cause the capture. To avoid damaging the embryos, only external measurements and total weight were recorded, and the bin with the female and eggs was released back at the same location.</t>
    </r>
  </si>
  <si>
    <r>
      <t>O. vulgaris</t>
    </r>
    <r>
      <rPr>
        <sz val="10"/>
        <rFont val="Arial"/>
        <family val="2"/>
      </rPr>
      <t xml:space="preserve"> was observed incorporating human-made debris into biologically important activities, including egg laying and den construction. The observations suggest that octopuses can flexibly use artificial objects when suitable natural structures are limited, but they also show that marine litter is becoming integrated into reproductive and shelter-use behavior, potentially creating new dependencies or risks in altered habitats.</t>
    </r>
  </si>
  <si>
    <t>The study evaluates survival, growth, settlement, stocking density, temperature, and feeding conditions for aquaculture production, but does not investigate pain, stress, affective state, cognition, sentience, or welfare as scientific outcomes.</t>
  </si>
  <si>
    <t>Authors state that the study followed the animal-experimentation ethics guidelines of the three participating research institutes. Paralarvae selected for dry-weight measurements were anesthetized in ethanol before being dried. No cephalopod-specific welfare framework, 3Rs statement, welfare monitoring, humane-killing description, or explicit welfare rationale is provided.</t>
  </si>
  <si>
    <t>Twenty-seven sexually mature female O. sinensis, captured by octopus pot or bottom trawl in the Seto Inland Sea, were maintained as broodstock at three Japanese research institutes. Their offspring were used in 28 experimental paralarval-rearing trials conducted in 1, 2, and 16 kL upwelling systems. Across all trials, 64,081 paralarvae were initially stocked at 0 days after hatching; 56,951 were estimated to remain at 9 DAH, and 26,213 settled juveniles were harvested at the end of rearing. Trials varied water temperature, stocking density, hatchling size, and quantity of swimming-crab zoeae supplied. Survival was monitored from daily mortality counts, and settlement was indicated by daytime clinging to tank walls and bottoms. For growth measurements, 10–30 paralarvae per tank were periodically anesthetized in ethanol, blotted, and dried at 100°C for 24 h; these individuals were removed from subsequent survival calculations.</t>
  </si>
  <si>
    <t>64,081 paralarvae (26, 213 survived to juvenile age); 27 broodstock females</t>
  </si>
  <si>
    <t>Across 28 rearing trials, 64,081 paralarvae were stocked and 26,213 survived to the settled juvenile stage. Survival and growth varied with water temperature, hatchling size, and live-feed supply, while increasing the system from 1 kL to 16 kL did not by itself reduce performance. This indicates that rearing outcomes in O. sinensis depend more on environmental and feeding conditions than on tank scale alone.</t>
  </si>
  <si>
    <t>The octopuses are biological specimens used to characterize reproductive anatomy and cell development.</t>
  </si>
  <si>
    <t>The octopuses are physiological test subjects. Stress is induced and steroid responses are measured, but their behavior is not interpreted as action, choice, or agency.</t>
  </si>
  <si>
    <t>Parasite burden and captive health are measured, but no octopus behavior is analyzed. Individual infection values do not constitute agency.</t>
  </si>
  <si>
    <t>Paralarvae are treated primarily through developmental survival, growth, settlement, and rearing performance. Clinging behavior is explicitly observed, but treated as a developmental indicator of settlement rather than evidence of choice or agency.</t>
  </si>
  <si>
    <t>The case provides incidental welfare-relevant insight by linking severe coccidial infection and associated tissue damage to the octopus’s poor appetite, systemic disease, and death. These findings reveal substantial impairment of the animal’s health and normal feeding behavior, but welfare, affective state, pain, or subjective experience are not directly investigated or discussed.</t>
  </si>
  <si>
    <t>Explicit Ethics/Welfare Recognition</t>
  </si>
  <si>
    <t>Octopuses are treated as biological specimens and demographic data points. The study measures body size, sex, gonadal maturity, and catch composition without describing behavior, choice, autonomy, or intentional action. These are demographic and reproductive measurements of harvested specimens.</t>
  </si>
  <si>
    <r>
      <t xml:space="preserve">Six hundred </t>
    </r>
    <r>
      <rPr>
        <i/>
        <sz val="10"/>
        <rFont val="Arial"/>
        <family val="2"/>
      </rPr>
      <t>O. vulgaris</t>
    </r>
    <r>
      <rPr>
        <sz val="10"/>
        <rFont val="Arial"/>
        <family val="2"/>
      </rPr>
      <t xml:space="preserve"> were randomly sampled from landings of coastal trawlers and artisanal fleets operating between Sidi El Ghazi and Cap Blanc in southern Morocco during 2020, with 300 specimens from each fleet. Dorsal mantle length, total weight, eviscerated weight, commercial size grade, sex, and macroscopic maturity stage were recorded. The study compared size structure, sex ratios, and maturity distributions between the two fishing sectors and estimated size and weight at first sexual maturity.</t>
    </r>
  </si>
  <si>
    <r>
      <t xml:space="preserve">Coastal trawlers and artisanal fishers landed different portions of the </t>
    </r>
    <r>
      <rPr>
        <i/>
        <sz val="10"/>
        <rFont val="Arial"/>
        <family val="2"/>
      </rPr>
      <t>O. vulgaris</t>
    </r>
    <r>
      <rPr>
        <sz val="10"/>
        <rFont val="Arial"/>
        <family val="2"/>
      </rPr>
      <t xml:space="preserve"> population. Coastal trawlers tended to catch smaller individuals, while artisanal fisheries landed mainly medium-sized animals, and the two fleets also differed in sex ratio. Estimated size at first maturity was about 15 cm dorsal mantle length for both sexes, with females reaching maturity at a greater body weight than males. These findings describe how the two fishing sectors differ in the demographic and reproductive composition of the octopuses they remove.</t>
    </r>
  </si>
  <si>
    <r>
      <t>O. vulgaris</t>
    </r>
    <r>
      <rPr>
        <sz val="10"/>
        <rFont val="Arial"/>
        <family val="2"/>
      </rPr>
      <t xml:space="preserve"> is described as actively preying on the invasive blue crab </t>
    </r>
    <r>
      <rPr>
        <i/>
        <sz val="10"/>
        <rFont val="Arial"/>
        <family val="2"/>
      </rPr>
      <t>Callinectes sapidus</t>
    </r>
    <r>
      <rPr>
        <sz val="10"/>
        <rFont val="Arial"/>
        <family val="2"/>
      </rPr>
      <t>, with the authors suggesting that this may represent adaptive feeding in response to the crab’s local abundance. The behavior is ecologically meaningful and implies flexible prey use, but cognition, learning, awareness, or deliberate decision-making are not directly investigated.</t>
    </r>
  </si>
  <si>
    <r>
      <t xml:space="preserve">The study provides incidental information about behavioral flexibility by documenting </t>
    </r>
    <r>
      <rPr>
        <i/>
        <sz val="10"/>
        <rFont val="Arial"/>
        <family val="2"/>
      </rPr>
      <t>O. vulgaris</t>
    </r>
    <r>
      <rPr>
        <sz val="10"/>
        <rFont val="Arial"/>
        <family val="2"/>
      </rPr>
      <t xml:space="preserve"> exploiting a relatively recently abundant invasive prey species. However, cognition, learning, welfare, affective state, or subjective experience are not directly examined.</t>
    </r>
  </si>
  <si>
    <t>The authors state that research complied with Vendicari Nature Reserve regulations and relevant Italian and EU environmental laws. Informed consent and anonymity protections are described for interviewed fishermen. No octopus-specific ethical, welfare, disturbance-minimization, or animal-care measures are reported.</t>
  </si>
  <si>
    <r>
      <t xml:space="preserve">The broader study combined field surveys, specimen collection of invasive shrimp, Local Ecological Knowledge interviews with nine fishermen, and interviews with local naturalists. The </t>
    </r>
    <r>
      <rPr>
        <i/>
        <sz val="10"/>
        <rFont val="Arial"/>
        <family val="2"/>
      </rPr>
      <t>O. vulgaris</t>
    </r>
    <r>
      <rPr>
        <sz val="10"/>
        <rFont val="Arial"/>
        <family val="2"/>
      </rPr>
      <t xml:space="preserve"> evidence specifically came from a local expert who reported blue-crab predation and provided photographs taken in July 2023. The photographs documented blue-crab remains near octopus dens close to lagoons where </t>
    </r>
    <r>
      <rPr>
        <i/>
        <sz val="10"/>
        <rFont val="Arial"/>
        <family val="2"/>
      </rPr>
      <t>C. sapidus</t>
    </r>
    <r>
      <rPr>
        <sz val="10"/>
        <rFont val="Arial"/>
        <family val="2"/>
      </rPr>
      <t xml:space="preserve"> was abundant. The octopuses themselves were not captured, handled, sampled, or experimentally manipulated.</t>
    </r>
  </si>
  <si>
    <r>
      <t xml:space="preserve">Photographic and local-expert evidence indicated that </t>
    </r>
    <r>
      <rPr>
        <i/>
        <sz val="10"/>
        <rFont val="Arial"/>
        <family val="2"/>
      </rPr>
      <t>O. vulgaris</t>
    </r>
    <r>
      <rPr>
        <sz val="10"/>
        <rFont val="Arial"/>
        <family val="2"/>
      </rPr>
      <t xml:space="preserve"> was consuming the invasive blue crab </t>
    </r>
    <r>
      <rPr>
        <i/>
        <sz val="10"/>
        <rFont val="Arial"/>
        <family val="2"/>
      </rPr>
      <t>C. sapidus</t>
    </r>
    <r>
      <rPr>
        <sz val="10"/>
        <rFont val="Arial"/>
        <family val="2"/>
      </rPr>
      <t xml:space="preserve"> in an area where the crab had become abundant. This suggests that common octopuses can incorporate newly available prey into their diet, although the limited number of documented observations does not establish how common or important blue crabs are as prey.</t>
    </r>
  </si>
  <si>
    <t>Italy, Canada</t>
  </si>
  <si>
    <t>Individuality Variation &amp; Personality</t>
  </si>
  <si>
    <t>The study explicitly treats individual octopuses as behaviorally distinct agents and investigates stable differences in exploration, boldness, alertness, responses to novelty, prey capture, and reactions to disturbance. Individual identity is central to the research question, and behavior is interpreted in terms of personality structure and consistent individual variation.</t>
  </si>
  <si>
    <t>Personality, behavioral consistency, exploration, boldness, and responses to unexpected or disturbing stimuli are directly measured. The authors also explicitly connect individual behavioral differences to animal welfare and argue that recognition of personality may support individual-level welfare refinement.</t>
  </si>
  <si>
    <t>The study complied with European cephalopod-research regulations, Canadian Council on Animal Care requirements, ASAB/ABS animal-use guidelines, and institutional permissions. Animals were provided shelter and environmental enrichment, their well-being was closely monitored, sexing was avoided to reduce additional handling stress, and all animals were released after testing.</t>
  </si>
  <si>
    <r>
      <t xml:space="preserve">Twenty-one wild adult </t>
    </r>
    <r>
      <rPr>
        <i/>
        <sz val="10"/>
        <rFont val="Arial"/>
        <family val="2"/>
      </rPr>
      <t>O. vulgaris</t>
    </r>
    <r>
      <rPr>
        <sz val="10"/>
        <rFont val="Arial"/>
        <family val="2"/>
      </rPr>
      <t xml:space="preserve"> were captured by a licensed fisherman using fish traps and temporarily maintained in captivity for about 12 ± 3 days. After acclimation, each octopus underwent repeated Startle, Foraging, and Disturbance tests over four consecutive days. Startle trials involved sudden visual exposure to the experimental room; Foraging trials introduced a live crab; Disturbance trials involved touching the mantle for at least 2 s with a brush-tipped stick, after which animals could ignore, avoid, or grasp the object. Behaviors including locomotion, environmental sampling, shelter use, sleeping, color change, prey capture, and grasping were video-recorded. The final dataset contained 328 tests. Animals were monitored for health and weight, provided shelter and a rubber-ring enrichment object, and all 21 were released after testing.</t>
    </r>
  </si>
  <si>
    <t>B</t>
  </si>
  <si>
    <r>
      <t xml:space="preserve">Behavioral responses were moderately repeatable within individuals, and the observed behaviors grouped into three personality dimensions labeled Alertness, Exploration, and Boldness. Exploration and Boldness were also associated across experimental contexts, providing evidence for a behavioral syndrome. In plain terms, individual </t>
    </r>
    <r>
      <rPr>
        <i/>
        <sz val="10"/>
        <rFont val="Arial"/>
        <family val="2"/>
      </rPr>
      <t>O. vulgaris</t>
    </r>
    <r>
      <rPr>
        <sz val="10"/>
        <rFont val="Arial"/>
        <family val="2"/>
      </rPr>
      <t xml:space="preserve"> differed consistently in how they explored, reacted to disturbance, and approached their surroundings, indicating that these behavioral differences were not simply momentary responses to a particular test.</t>
    </r>
  </si>
  <si>
    <t>Egypt</t>
  </si>
  <si>
    <t>Brazil</t>
  </si>
  <si>
    <t>Chile</t>
  </si>
  <si>
    <t>The octopus is treated as a source of genetic material for mitogenome sequencing and phylogenetic comparison. No behavior, choice, autonomy, individuality, or intentional action is described.</t>
  </si>
  <si>
    <t>The study concerns mitochondrial genome assembly, species identification, and phylogenetic relationships. It does not address cognition, behavior, awareness, affective state, or welfare.</t>
  </si>
  <si>
    <t>The authors report approval from the University of Johannesburg Faculty of Science ethics committee and state that the study followed the principles of the Declaration of Helsinki. No octopus-specific welfare practices, anesthesia, euthanasia, humane treatment, 3Rs measures, or welfare rationale are described.</t>
  </si>
  <si>
    <r>
      <t xml:space="preserve">Muscle tissue was obtained from one </t>
    </r>
    <r>
      <rPr>
        <i/>
        <sz val="10"/>
        <rFont val="Arial"/>
        <family val="2"/>
      </rPr>
      <t>O. vulgaris</t>
    </r>
    <r>
      <rPr>
        <sz val="10"/>
        <rFont val="Arial"/>
        <family val="2"/>
      </rPr>
      <t xml:space="preserve"> sensu stricto specimen commercially caught near the Cies Islands, Spain, in August 2022. High-molecular-weight DNA was extracted, a genomic library was prepared, and paired-end sequencing was performed. The complete mitochondrial genome was assembled de novo, annotated, and compared phylogenetically with published octopus mitogenomes. The analysis showed that the previously published Japanese “</t>
    </r>
    <r>
      <rPr>
        <i/>
        <sz val="10"/>
        <rFont val="Arial"/>
        <family val="2"/>
      </rPr>
      <t>O. vulgaris</t>
    </r>
    <r>
      <rPr>
        <sz val="10"/>
        <rFont val="Arial"/>
        <family val="2"/>
      </rPr>
      <t xml:space="preserve">” mitogenome clustered with </t>
    </r>
    <r>
      <rPr>
        <i/>
        <sz val="10"/>
        <rFont val="Arial"/>
        <family val="2"/>
      </rPr>
      <t>O. sinensis</t>
    </r>
    <r>
      <rPr>
        <sz val="10"/>
        <rFont val="Arial"/>
        <family val="2"/>
      </rPr>
      <t>.</t>
    </r>
  </si>
  <si>
    <r>
      <t xml:space="preserve">The study produced the first complete mitochondrial genome for </t>
    </r>
    <r>
      <rPr>
        <i/>
        <sz val="10"/>
        <rFont val="Arial"/>
        <family val="2"/>
      </rPr>
      <t>O. vulgaris</t>
    </r>
    <r>
      <rPr>
        <sz val="10"/>
        <rFont val="Arial"/>
        <family val="2"/>
      </rPr>
      <t xml:space="preserve"> sensu stricto from its confirmed northeastern Atlantic range. Phylogenetic comparison showed that the previously published Japanese mitogenome identified as </t>
    </r>
    <r>
      <rPr>
        <i/>
        <sz val="10"/>
        <rFont val="Arial"/>
        <family val="2"/>
      </rPr>
      <t>O. vulgaris</t>
    </r>
    <r>
      <rPr>
        <sz val="10"/>
        <rFont val="Arial"/>
        <family val="2"/>
      </rPr>
      <t xml:space="preserve"> was instead consistent with </t>
    </r>
    <r>
      <rPr>
        <i/>
        <sz val="10"/>
        <rFont val="Arial"/>
        <family val="2"/>
      </rPr>
      <t>O. sinensis</t>
    </r>
    <r>
      <rPr>
        <sz val="10"/>
        <rFont val="Arial"/>
        <family val="2"/>
      </rPr>
      <t xml:space="preserve">. This clarifies which mitochondrial reference sequence corresponds to </t>
    </r>
    <r>
      <rPr>
        <i/>
        <sz val="10"/>
        <rFont val="Arial"/>
        <family val="2"/>
      </rPr>
      <t>O. vulgaris</t>
    </r>
    <r>
      <rPr>
        <sz val="10"/>
        <rFont val="Arial"/>
        <family val="2"/>
      </rPr>
      <t xml:space="preserve"> sensu stricto and reduces the risk of using a misidentified reference in future genetic studies.</t>
    </r>
  </si>
  <si>
    <t>"Due to the use of a public dataset not necessary."</t>
  </si>
  <si>
    <t>"This research did not involve the use of human participants or animals. Therefore, ethical approval was not required for this study."</t>
  </si>
  <si>
    <t>"This article does not contain any experimental studies with animals performed by any of the authors."</t>
  </si>
  <si>
    <t>"All octopus specimens used for this study were com
mercially harvested animals purchased from local fishermen. Therefore, 
no specific ethical approval was required. The handling and processing 
of specimens complied with all applicable institutional, national, and 
international guidelines for the use of animals in research."</t>
  </si>
  <si>
    <t xml:space="preserve">Permission was obtained from the Chusan Fisheries Cooperative Association to retain individuals below 200 g that fishers would normally release. No explicit animal-welfare procedures, ethical approval, anesthesia, euthanasia protocol, or cephalopod-specific welfare guidance are reported. </t>
  </si>
  <si>
    <t>"This is an observational study. The IIM-CSIC Research Ethics Committee has confirmed that no ethical approval is required." The octopus was approached slowly at substrate level and followed from approximately 0.5 m away specifically to avoid disturbing or altering its behavior.</t>
  </si>
  <si>
    <t>Octopuses are treated as anatomical specimens at different developmental stages. The study reconstructs changes in digestive-organ size and structure across ontogeny but does not observe or analyze individual behavior, choice, autonomy, or intentional action.</t>
  </si>
  <si>
    <t>The authors infer possible relationships between digestive morphology, feeding mode, and ecological transitions, but cognition, learning, awareness, affective state, or welfare are not measured or discussed as scientific outcomes.</t>
  </si>
  <si>
    <t>Procedures were approved by the ICM Animal Experimentation Ethical Committee, CSIC Ethical Committee, and Catalan Government. The authors explicitly state that accepted procedures and recommendations for cephalopod care and welfare were followed under Directive 2010/63/EU and Fiorito et al. (2015). Experimental individuals were anesthetized with increasing ethanol concentrations to 2%, killed by anesthetic overdose, and death was confirmed by absence of branchial-heart contractions.</t>
  </si>
  <si>
    <r>
      <t xml:space="preserve">Early-life </t>
    </r>
    <r>
      <rPr>
        <i/>
        <sz val="10"/>
        <rFont val="Arial"/>
        <family val="2"/>
      </rPr>
      <t>O. vulgaris</t>
    </r>
    <r>
      <rPr>
        <sz val="10"/>
        <rFont val="Arial"/>
        <family val="2"/>
      </rPr>
      <t xml:space="preserve"> specimens spanning premature and competent hatchlings and 5, 10, 19, 30, 42, 50, and 60 DPH were examined using light-sheet fluorescence microscopy and 3D reconstruction of digestive organs. Some specimens originated from earlier rearing experiments and others from laboratory-maintained egg masses. Experimental individuals were anesthetized and killed before fixation and imaging. Ten additional subadult/adult </t>
    </r>
    <r>
      <rPr>
        <i/>
        <sz val="10"/>
        <rFont val="Arial"/>
        <family val="2"/>
      </rPr>
      <t>O. vulgaris</t>
    </r>
    <r>
      <rPr>
        <sz val="10"/>
        <rFont val="Arial"/>
        <family val="2"/>
      </rPr>
      <t xml:space="preserve"> (5 males, 5 females) were obtained from artisanal-pot catches off Deltebre; their digestive organs were dissected, weighed, and volumetrically measured. Developmental morphology was compared with adult </t>
    </r>
    <r>
      <rPr>
        <i/>
        <sz val="10"/>
        <rFont val="Arial"/>
        <family val="2"/>
      </rPr>
      <t>O. vulgaris</t>
    </r>
    <r>
      <rPr>
        <sz val="10"/>
        <rFont val="Arial"/>
        <family val="2"/>
      </rPr>
      <t xml:space="preserve"> and with </t>
    </r>
    <r>
      <rPr>
        <i/>
        <sz val="10"/>
        <rFont val="Arial"/>
        <family val="2"/>
      </rPr>
      <t>Sepia officinalis</t>
    </r>
    <r>
      <rPr>
        <sz val="10"/>
        <rFont val="Arial"/>
        <family val="2"/>
      </rPr>
      <t xml:space="preserve">, </t>
    </r>
    <r>
      <rPr>
        <i/>
        <sz val="10"/>
        <rFont val="Arial"/>
        <family val="2"/>
      </rPr>
      <t>Loligo vulgaris</t>
    </r>
    <r>
      <rPr>
        <sz val="10"/>
        <rFont val="Arial"/>
        <family val="2"/>
      </rPr>
      <t xml:space="preserve">, and </t>
    </r>
    <r>
      <rPr>
        <i/>
        <sz val="10"/>
        <rFont val="Arial"/>
        <family val="2"/>
      </rPr>
      <t>Illex coindetii</t>
    </r>
    <r>
      <rPr>
        <sz val="10"/>
        <rFont val="Arial"/>
        <family val="2"/>
      </rPr>
      <t>.</t>
    </r>
  </si>
  <si>
    <r>
      <t xml:space="preserve">The digestive system changed substantially during the first two months of </t>
    </r>
    <r>
      <rPr>
        <i/>
        <sz val="10"/>
        <rFont val="Arial"/>
        <family val="2"/>
      </rPr>
      <t>O. vulgaris</t>
    </r>
    <r>
      <rPr>
        <sz val="10"/>
        <rFont val="Arial"/>
        <family val="2"/>
      </rPr>
      <t xml:space="preserve"> development, with relatively rapid growth shortly after hatching and again around settlement. Hatchlings also had proportionally enlarged posterior salivary glands compared with later life stages and with benthic cuttlefish hatchlings. The authors interpret this pattern as potentially supporting external digestion during early planktonic feeding and compensating for a comparatively immature digestive gland. Overall, the findings show that digestive anatomy changes alongside the transition from planktonic paralarva to benthic juvenile and differs among cephalopods with different early-life ecologies.</t>
    </r>
  </si>
  <si>
    <t>The octopuses are used primarily as sources of ink for testing a potential biomedical application. Ink ejection is elicited by disturbing the animals with forceps, so a defensive behavioral response is involved, but it is treated mechanistically as a means of obtaining the secretion rather than as evidence of choice, awareness, or intentional action.</t>
  </si>
  <si>
    <t>The authors report approval by the Faculty of Science, Tanta University ethics committee (IACUC-SCI-TU-0420). No octopus-specific welfare procedures, anesthesia, handling safeguards, release, humane endpoint, or cephalopod welfare guidance are described.</t>
  </si>
  <si>
    <r>
      <t>O. vulgaris</t>
    </r>
    <r>
      <rPr>
        <sz val="10"/>
        <rFont val="Arial"/>
        <family val="2"/>
      </rPr>
      <t xml:space="preserve"> ink showed dose- and time-dependent nematocidal activity against adult </t>
    </r>
    <r>
      <rPr>
        <i/>
        <sz val="10"/>
        <rFont val="Arial"/>
        <family val="2"/>
      </rPr>
      <t>S. obvelata</t>
    </r>
    <r>
      <rPr>
        <sz val="10"/>
        <rFont val="Arial"/>
        <family val="2"/>
      </rPr>
      <t>, with an LC90 of 316 µg/mL after 10 hours. Its activity was lower than that of the sea slug and sea hare extracts but greater than the cuttlefish ink under the reported conditions. This shows that compounds present in common-octopus ink can affect nematode survival in vitro, although the study does not establish how those compounds would perform as a treatment in a living host.</t>
    </r>
  </si>
  <si>
    <t>Live O. vulgaris collected by fishermen in Hurghada, Egypt, were transported to the laboratory in seawater. Ink was obtained by disturbing the animals and stimulating them with forceps to eject defensive secretion. The ink was collected, centrifuged, lyophilized, and tested in vitro against adult murine pinworms at multiple concentrations. Octopus fate after ink collection is not reported. The broader experiment compared extracts from four marine mollusks and included mortality assays, scanning electron microscopy, and antioxidant-enzyme measurements in the worms. Number of octopuses used not reported.</t>
  </si>
  <si>
    <r>
      <t>O. vulgaris</t>
    </r>
    <r>
      <rPr>
        <sz val="10"/>
        <rFont val="Arial"/>
        <family val="2"/>
      </rPr>
      <t xml:space="preserve"> is treated solely as a seafood sample used for analytical method development and elemental quantification. No behavior, choice, autonomy, or intentional action is described.</t>
    </r>
  </si>
  <si>
    <t>No octopus-specific ethical or welfare considerations are reported. The octopus material was purchased frozen from a fisheries market.</t>
  </si>
  <si>
    <r>
      <t xml:space="preserve">Frozen seafood samples were purchased from fisheries markets in Pelotas and Florianópolis, Brazil. The </t>
    </r>
    <r>
      <rPr>
        <i/>
        <sz val="10"/>
        <rFont val="Arial"/>
        <family val="2"/>
      </rPr>
      <t>O. vulgaris</t>
    </r>
    <r>
      <rPr>
        <sz val="10"/>
        <rFont val="Arial"/>
        <family val="2"/>
      </rPr>
      <t xml:space="preserve"> sample consisted of eight frozen arms. Samples were homogenized and subjected to different drying treatments, including oven drying at 60 °C and 100 °C and freeze-drying. Microwave-induced combustion followed by ion chromatography-mass spectrometry was developed and validated for simultaneous determination of Br, Cl, F, I, and S. The octopus sample was also used specifically to test fluorine losses under different drying conditions.</t>
    </r>
  </si>
  <si>
    <r>
      <t xml:space="preserve">The study developed and validated a method for simultaneously measuring Br, Cl, F, I, and S in seafood, including </t>
    </r>
    <r>
      <rPr>
        <i/>
        <sz val="10"/>
        <rFont val="Arial"/>
        <family val="2"/>
      </rPr>
      <t>O. vulgaris</t>
    </r>
    <r>
      <rPr>
        <sz val="10"/>
        <rFont val="Arial"/>
        <family val="2"/>
      </rPr>
      <t>. It also showed that drying conditions can alter measured fluorine concentrations, with drying at 100 °C causing greater fluorine loss than lower-temperature or freeze-drying approaches. This means that sample preparation itself can influence the elemental values reported for octopus and other seafood tissues.</t>
    </r>
  </si>
  <si>
    <t>Octopuses are treated as morphological and genetic specimens for species identification, phylogenetic reconstruction, and biogeographic analysis. No behavior, choice, autonomy, or intentional action is examined.</t>
  </si>
  <si>
    <t>Ethical approval The research was developed under the ethi cal guidelines of Universidad Andres Bello. Octopuses were collected under fishing permit 557 from Subsecretaría de Pesca y Acuicultura de Chile.</t>
  </si>
  <si>
    <r>
      <t xml:space="preserve">Forty-three octopuses were collected from the Juan Fernández Archipelago between 2009 and 2019 for morphological and molecular study. The taxon initially designated </t>
    </r>
    <r>
      <rPr>
        <i/>
        <sz val="10"/>
        <rFont val="Arial"/>
        <family val="2"/>
      </rPr>
      <t>Octopus</t>
    </r>
    <r>
      <rPr>
        <sz val="10"/>
        <rFont val="Arial"/>
        <family val="2"/>
      </rPr>
      <t xml:space="preserve"> sp.1 was subsequently identified as </t>
    </r>
    <r>
      <rPr>
        <i/>
        <sz val="10"/>
        <rFont val="Arial"/>
        <family val="2"/>
      </rPr>
      <t>O. vulgaris</t>
    </r>
    <r>
      <rPr>
        <sz val="10"/>
        <rFont val="Arial"/>
        <family val="2"/>
      </rPr>
      <t xml:space="preserve">. Morphometric analyses included 26 JFA </t>
    </r>
    <r>
      <rPr>
        <i/>
        <sz val="10"/>
        <rFont val="Arial"/>
        <family val="2"/>
      </rPr>
      <t>Octopus</t>
    </r>
    <r>
      <rPr>
        <sz val="10"/>
        <rFont val="Arial"/>
        <family val="2"/>
      </rPr>
      <t xml:space="preserve"> sp.1 individuals (18 males, 8 females), while molecular analyses used subsets of these animals. Three additional </t>
    </r>
    <r>
      <rPr>
        <i/>
        <sz val="10"/>
        <rFont val="Arial"/>
        <family val="2"/>
      </rPr>
      <t>O. vulgaris</t>
    </r>
    <r>
      <rPr>
        <sz val="10"/>
        <rFont val="Arial"/>
        <family val="2"/>
      </rPr>
      <t xml:space="preserve"> specimens were obtained from France. Small and medium animals were preserved whole in 96% ethanol; larger specimens were tissue-sampled and the remaining bodies preserved for anatomical and morphological analysis. Three mitochondrial markers (16S rRNA, COI, COIII) were sequenced and combined with GenBank data for phylogenetic, species-delimitation, divergence-time, genetic-diversity, and biogeographic analyses.</t>
    </r>
  </si>
  <si>
    <r>
      <t xml:space="preserve">Morphological measurements alone did not clearly separate the two octopus forms occurring in the Juan Fernández Archipelago, but molecular analyses supported their identification as </t>
    </r>
    <r>
      <rPr>
        <i/>
        <sz val="10"/>
        <rFont val="Arial"/>
        <family val="2"/>
      </rPr>
      <t>O. vulgaris</t>
    </r>
    <r>
      <rPr>
        <sz val="10"/>
        <rFont val="Arial"/>
        <family val="2"/>
      </rPr>
      <t xml:space="preserve"> and </t>
    </r>
    <r>
      <rPr>
        <i/>
        <sz val="10"/>
        <rFont val="Arial"/>
        <family val="2"/>
      </rPr>
      <t>O. mimus</t>
    </r>
    <r>
      <rPr>
        <sz val="10"/>
        <rFont val="Arial"/>
        <family val="2"/>
      </rPr>
      <t>. The analyses also indicated different Pleistocene colonization histories and relatively low genetic diversity in both island populations. This means that animals that appear morphologically similar in the archipelago represent distinct evolutionary lineages, and that genetic data provide information not apparent from external body shape alone.</t>
    </r>
  </si>
  <si>
    <t>Octopuses are treated as physiological subjects from which skin-mucus protein profiles are obtained and compared across wild, aquarium-maintained, and senescent conditions. The study does not analyze behavior, choice, autonomy, learning, or intentional action.</t>
  </si>
  <si>
    <t>Welfare is a central scientific objective. The study evaluates whether changes in skin-mucus proteins can provide non-invasive biomarkers of health and welfare associated with aquarium maintenance and senescence, identifying proteins whose relative abundance differed among conditions.</t>
  </si>
  <si>
    <t>Institutional Review Board Statement: Procedures for transportation and maintenance were carried out following the principles of animal welfare and the European Directive 2010/63/EU. The animal study protocol and the experiments performed were approved by the Ethic Committee of the Institute of Marine Research (OEBA-IIM-CSIC), an also by the Ethic Committee of the Competent Authority, under the project number: ES360570202001/24/EDUC. FORM07/CGM01.</t>
  </si>
  <si>
    <r>
      <t xml:space="preserve">Six wild-caught </t>
    </r>
    <r>
      <rPr>
        <i/>
        <sz val="10"/>
        <rFont val="Arial"/>
        <family val="2"/>
      </rPr>
      <t>O. vulgaris</t>
    </r>
    <r>
      <rPr>
        <sz val="10"/>
        <rFont val="Arial"/>
        <family val="2"/>
      </rPr>
      <t xml:space="preserve"> were captured by professional fishermen in the Ría de Vigo and maintained individually in 500-L tanks. Sampling generated three overlapping condition groups: wild/recently captured (3W, 4W, 5W), aquarium-maintained for three months (1A, 2A), and senescent (1S, 2S, 3S, 4S, 6S). Some individuals were therefore sampled repeatedly across life/captive stages. For mucus collection, animals were anesthetized with 1% ethanol plus MgCl₂, their arms were exposed to air for 10 min, and mucus was obtained by gently squeezing and scraping the skin. Proteins were then characterized using TMT quantitative proteomics and LC-MS/MS.</t>
    </r>
  </si>
  <si>
    <t>The study identified 1,496 skin-mucus protein groups and found differences in the relative abundance of several proteins among recently captured, aquarium-maintained, and senescent octopuses. Proteins including caspase-3-like, protocadherin 4, thioredoxin, papilin, annexin, cofilin, and mucin-4 were proposed as candidate welfare biomarkers. This suggests that skin mucus may contain measurable physiological indicators of changes associated with captivity and senescence, although the candidate biomarkers still require further validation before they can be interpreted reliably as indicators of octopus welfare.</t>
  </si>
  <si>
    <r>
      <t>O. vulgaris</t>
    </r>
    <r>
      <rPr>
        <sz val="10"/>
        <rFont val="Arial"/>
        <family val="2"/>
      </rPr>
      <t xml:space="preserve"> is used as a source of ink for chemical characterization and biomedical screening. No octopus behavior, choice, autonomy, or intentional action is observed or analyzed.</t>
    </r>
  </si>
  <si>
    <t>The study investigates chemical constituents and potential pharmaceutical properties of octopus ink.</t>
  </si>
  <si>
    <r>
      <t>"Fresh cephalopod (</t>
    </r>
    <r>
      <rPr>
        <i/>
        <sz val="10"/>
        <rFont val="Arial"/>
        <family val="2"/>
      </rPr>
      <t>O. vulgaris) was boughtand rapidly transported to the laboratory where dissection took place"</t>
    </r>
    <r>
      <rPr>
        <sz val="10"/>
        <rFont val="Arial"/>
        <family val="2"/>
      </rPr>
      <t xml:space="preserve">  and ink was removed, diluted, concentrated, and lyophilized. The paper does not state whether the animal was alive when purchased, how it died, or how many octopuses supplied the ink. GC-MS identified ink constituents, after which the extract was tested in vitro for antioxidant and antimicrobial activity, against </t>
    </r>
    <r>
      <rPr>
        <i/>
        <sz val="10"/>
        <rFont val="Arial"/>
        <family val="2"/>
      </rPr>
      <t>Biomphalaria alexandrina</t>
    </r>
    <r>
      <rPr>
        <sz val="10"/>
        <rFont val="Arial"/>
        <family val="2"/>
      </rPr>
      <t xml:space="preserve"> snails and </t>
    </r>
    <r>
      <rPr>
        <i/>
        <sz val="10"/>
        <rFont val="Arial"/>
        <family val="2"/>
      </rPr>
      <t>Schistosoma mansoni</t>
    </r>
    <r>
      <rPr>
        <sz val="10"/>
        <rFont val="Arial"/>
        <family val="2"/>
      </rPr>
      <t xml:space="preserve"> adults and larvae, and against several human cancer cell lines.</t>
    </r>
  </si>
  <si>
    <r>
      <t xml:space="preserve">Twenty-one compounds were identified in the </t>
    </r>
    <r>
      <rPr>
        <i/>
        <sz val="10"/>
        <rFont val="Arial"/>
        <family val="2"/>
      </rPr>
      <t>O. vulgaris</t>
    </r>
    <r>
      <rPr>
        <sz val="10"/>
        <rFont val="Arial"/>
        <family val="2"/>
      </rPr>
      <t xml:space="preserve"> ink extract. The extract showed antioxidant and antimicrobial activity and produced concentration-dependent mortality in </t>
    </r>
    <r>
      <rPr>
        <i/>
        <sz val="10"/>
        <rFont val="Arial"/>
        <family val="2"/>
      </rPr>
      <t>B. alexandrina</t>
    </r>
    <r>
      <rPr>
        <sz val="10"/>
        <rFont val="Arial"/>
        <family val="2"/>
      </rPr>
      <t xml:space="preserve"> and </t>
    </r>
    <r>
      <rPr>
        <i/>
        <sz val="10"/>
        <rFont val="Arial"/>
        <family val="2"/>
      </rPr>
      <t>S. mansoni</t>
    </r>
    <r>
      <rPr>
        <sz val="10"/>
        <rFont val="Arial"/>
        <family val="2"/>
      </rPr>
      <t>, as well as reduced viability of three cancer cell lines in vitro. These results show that the sampled ink contained compounds with several measurable biological activities under laboratory conditions, but the experiments do not establish whether the extract would be effective or safe as a pharmaceutical treatment.</t>
    </r>
  </si>
  <si>
    <t>Ethics statement
The animal studies were approved by the Bioethics Committee of The Spanish National Research Council (CSIC) under the Animal Experimentation Proyect approval number: ES360570202001/19/EDUC.FORM.07/JRM. The studies were conducted in accordance with the local legislation and institutional requirements (Spanish Authority RD53/2013). This research was conducted in accordance with the European animal directive (2010/63/UE), which is designed to protect experimental animals.</t>
  </si>
  <si>
    <t>Octopuses are treated as physiological subjects whose skin-associated microbial communities are compared between wild and aquaculture conditions. No behavior, choice, autonomy, learning, or intentional action is examined.</t>
  </si>
  <si>
    <t>Welfare is an explicit scientific objective. The study tests whether captive rearing alters the skin microbiome and evaluates its potential use as a non-invasive biomarker of health and animal welfare.</t>
  </si>
  <si>
    <r>
      <t xml:space="preserve">Twenty </t>
    </r>
    <r>
      <rPr>
        <i/>
        <sz val="10"/>
        <rFont val="Arial"/>
        <family val="2"/>
      </rPr>
      <t>O. vulgaris</t>
    </r>
    <r>
      <rPr>
        <sz val="10"/>
        <rFont val="Arial"/>
        <family val="2"/>
      </rPr>
      <t xml:space="preserve"> were compared: 10 wild-caught animals from the Ría de Vigo and 10 fifth-generation captive-bred animals maintained at the Pescanova Biomarine Center. Skin mucus was collected under anesthesia by gently swabbing the body surface twice per individual. Microbial DNA was extracted and the V3–V4 region of 16S rRNA sequenced using Illumina MiSeq. Microbiome composition, alpha and beta diversity, differential taxonomic abundance, and predicted KEGG metabolic pathways were compared between wild and aquaculture groups. Post-study release or fate was not reported.</t>
    </r>
  </si>
  <si>
    <t>The skin mucus microbiome was broadly similar in composition and diversity between wild and aquaculture-reared octopuses, although particular microbial taxa differed between groups. Wild animals showed greater representation of several potentially pathogenic bacteria and predicted microbial pathways associated with xenobiotic processing. This suggests that captive conditions were associated with some changes in the skin microbial community without producing a major overall shift in microbiome diversity; whether these differences reliably indicate welfare still requires validation.</t>
  </si>
  <si>
    <t>Ethics statement
The animal study was approved by Florida Fish and Wildlife Special Activity License # SAL-20-2247 and Florida Atlantic University Institutional Animal Care and Use Committee (IACUC) Protocol # A20-30. The study was conducted in accordance with the local legislation and institutional requirements. Written informed consent was obtained from the individual(s) for the publication of any potentially identifiable images or data included in this article.</t>
  </si>
  <si>
    <t>Octopuses are treated as hosts of skin-associated microbial communities. The study characterizes bacterial composition and compares it with environmental microbiota but does not investigate octopus behavior, choice, autonomy, learning, or intentional action.</t>
  </si>
  <si>
    <r>
      <t xml:space="preserve">Wild octopuses were located by SCUBA at Blue Heron Bridge, South Florida. After a visual health assessment, each animal was temporarily captured in a perforated bin and brought to a floating field laboratory. The mantle was lifted briefly from the water and swabbed 30 times with two sterile swabs per individual. Each octopus was then returned to its marked collection location, and researchers avoided resampling the same den. Skin microbiomes were characterized using 16S rRNA V3–V4 sequencing and compared with paired sediment and seawater samples and between </t>
    </r>
    <r>
      <rPr>
        <i/>
        <sz val="10"/>
        <rFont val="Arial"/>
        <family val="2"/>
      </rPr>
      <t>O. vulgaris</t>
    </r>
    <r>
      <rPr>
        <sz val="10"/>
        <rFont val="Arial"/>
        <family val="2"/>
      </rPr>
      <t xml:space="preserve"> and </t>
    </r>
    <r>
      <rPr>
        <i/>
        <sz val="10"/>
        <rFont val="Arial"/>
        <family val="2"/>
      </rPr>
      <t>Macrotritopus defilippi</t>
    </r>
    <r>
      <rPr>
        <sz val="10"/>
        <rFont val="Arial"/>
        <family val="2"/>
      </rPr>
      <t xml:space="preserve">. Nine octopuses were successfully sequenced: </t>
    </r>
    <r>
      <rPr>
        <b/>
        <sz val="10"/>
        <rFont val="Arial"/>
        <family val="2"/>
      </rPr>
      <t xml:space="preserve">5 </t>
    </r>
    <r>
      <rPr>
        <b/>
        <i/>
        <sz val="10"/>
        <rFont val="Arial"/>
        <family val="2"/>
      </rPr>
      <t>O. vulgaris</t>
    </r>
    <r>
      <rPr>
        <b/>
        <sz val="10"/>
        <rFont val="Arial"/>
        <family val="2"/>
      </rPr>
      <t xml:space="preserve"> and 4 </t>
    </r>
    <r>
      <rPr>
        <b/>
        <i/>
        <sz val="10"/>
        <rFont val="Arial"/>
        <family val="2"/>
      </rPr>
      <t>M. defilippi</t>
    </r>
    <r>
      <rPr>
        <sz val="10"/>
        <rFont val="Arial"/>
        <family val="2"/>
      </rPr>
      <t>.</t>
    </r>
  </si>
  <si>
    <t>5 O. vulgaris and 4 M. defilippi</t>
  </si>
  <si>
    <r>
      <t xml:space="preserve">The skin bacterial communities of wild octopuses differed from those in the surrounding seawater and sediment, supporting the presence of an octopus-associated skin microbiome. </t>
    </r>
    <r>
      <rPr>
        <i/>
        <sz val="10"/>
        <rFont val="Arial"/>
        <family val="2"/>
      </rPr>
      <t>O. vulgaris</t>
    </r>
    <r>
      <rPr>
        <sz val="10"/>
        <rFont val="Arial"/>
        <family val="2"/>
      </rPr>
      <t xml:space="preserve"> and </t>
    </r>
    <r>
      <rPr>
        <i/>
        <sz val="10"/>
        <rFont val="Arial"/>
        <family val="2"/>
      </rPr>
      <t>M. defilippi</t>
    </r>
    <r>
      <rPr>
        <sz val="10"/>
        <rFont val="Arial"/>
        <family val="2"/>
      </rPr>
      <t xml:space="preserve"> did not differ significantly in overall microbial diversity or composition, although some bacterial groups varied between species. Several detected bacteria have functions elsewhere associated with degradation, pigment production, or interactions with other microbes, suggesting possible roles in the skin microbial community, but these functions were not directly tested in the octopuses.</t>
    </r>
  </si>
  <si>
    <t>The study characterizes microbial symbionts and discusses possible implications for physiology, behavior, health, and care in captive settings, but does not investigate cognition, behavior, affective state, or welfare as an experiential outcome.</t>
  </si>
  <si>
    <t>The study interprets recently settled O. vulgaris as active predators whose prey use changes as they grow. Larger juveniles are inferred to broaden their prey range and potentially use ambush predation and speculative hunting as their arms and musculature develop. These are meaningful adaptive behaviors, but they are inferred from stomach contents, body size, and morphology rather than directly observed or investigated as cognition.</t>
  </si>
  <si>
    <t>The study provides indirect insight into behavioral flexibility by showing an ontogenetic change from a relatively specialized amphipod-based diet toward a broader prey spectrum and by relating this shift to developing hunting capabilities. Cognition, learning, awareness, or welfare are not directly examined.</t>
  </si>
  <si>
    <t>Individuals were killed using an overdose of 5% MgCl₂ following published cephalopod welfare recommendations. The authors explicitly cite Fiorito et al. (2015) guidelines for cephalopod care and welfare. An additional experiment also quantified the substantial weight loss caused by the MgCl₂ euthanasia procedure.</t>
  </si>
  <si>
    <t>A total of 166 juvenile O. vulgaris were collected from a Mediterranean artisanal fishing ground using juvenile octopus collectors, cuttlefish traps, octopus traps, and pots. Animals were deliberately killed onboard with a 5% MgCl₂ anesthetic overdose and frozen. Stomach contents from all 166 were examined visually, and 91 smaller/recently settled individuals were selected for COI metabarcoding of prey. An additional 35 juveniles from the same area were later used to quantify weight loss caused by 30 min exposure to 5% MgCl₂ before freezing. Diet composition was compared across size classes, gears, and seasons.</t>
  </si>
  <si>
    <r>
      <t xml:space="preserve">Recently settled </t>
    </r>
    <r>
      <rPr>
        <i/>
        <sz val="10"/>
        <rFont val="Arial"/>
        <family val="2"/>
      </rPr>
      <t>O. vulgaris</t>
    </r>
    <r>
      <rPr>
        <sz val="10"/>
        <rFont val="Arial"/>
        <family val="2"/>
      </rPr>
      <t xml:space="preserve"> fed predominantly on amphipods, with 20 amphipod taxa identified and </t>
    </r>
    <r>
      <rPr>
        <i/>
        <sz val="10"/>
        <rFont val="Arial"/>
        <family val="2"/>
      </rPr>
      <t>Jassa slatteryi</t>
    </r>
    <r>
      <rPr>
        <sz val="10"/>
        <rFont val="Arial"/>
        <family val="2"/>
      </rPr>
      <t xml:space="preserve"> and </t>
    </r>
    <r>
      <rPr>
        <i/>
        <sz val="10"/>
        <rFont val="Arial"/>
        <family val="2"/>
      </rPr>
      <t>Microprotopus maculatus</t>
    </r>
    <r>
      <rPr>
        <sz val="10"/>
        <rFont val="Arial"/>
        <family val="2"/>
      </rPr>
      <t xml:space="preserve"> occurring most frequently. Larger juveniles contained a wider variety of prey, indicating that diet breadth increased with body size after settlement. The authors link this change to developing arm length and musculature, suggesting that the range of prey juveniles can exploit expands as they transition to benthic life.</t>
    </r>
  </si>
  <si>
    <t>Ethics approval The octopus, spawned eggs, and hatched paralarvae were maintained and sampled according to the guidelines for cephalo pod care and welfare (Fiorito et al. 2015).</t>
  </si>
  <si>
    <t>Octopuses are treated as developmental and molecular subjects. The study examines gene-expression changes across embryonic and post-hatching stages but does not describe behavior in terms of choice, autonomy, awareness, or intentional action.</t>
  </si>
  <si>
    <t>The study investigates developmental gene expression, hatching, and early survival through transcriptomics and RT-qPCR. It does not measure or discuss cognition, emotion, learning, awareness, or welfare as a scientific outcome.</t>
  </si>
  <si>
    <t>The study identified 5,468 genes that differed in expression between newly hatched and 25-day-old paralarvae and found stage-related changes in several genes involved in transport, lipid metabolism, signaling, and developmental regulation. RT-qPCR also confirmed that selected genes changed across embryonic stages. These results show substantial molecular reorganization during embryonic and early post-hatching development and identify candidate genes associated with hatching and early survival.</t>
  </si>
  <si>
    <t>Twenty mature O. sinensis (mixed sex; 0.6–1.5 kg) were captured by a coastal fishery in Tongyeong, Korea, in April 2021 and transported to the East Sea Fisheries Research Institute of the National Institute of Fisheries Science. They were maintained indoors in a 50,000-L seawater aquarium at 14–15 °C and fed clam meat, crabs, and frozen shrimp. Water temperature was increased by 0.5 °C per day to induce spawning, and wooden boxes were provided for egg attachment. After spawning began, brooding females and their egg strings were transferred to a 2,000-L upward flow-through aquarium maintained at 19–20 °C, 33.6 psu salinity, and approximately 7.6 mg/L dissolved oxygen. Hatched paralarvae were transferred to a 200-L upward flow-through aquarium at 20–21 °C and fed Artemia and zoea-stage larvae of Portunus trituberculatus and Charybdis japonica. RNA-seq was performed on whole paralarvae sampled at 0 dph and 25 dph (n = 10 per stage), while RT-qPCR used embryos sampled at 10, 20, and 30 dpf (n = 10 per stage). The animals, eggs, and paralarvae were maintained and sampled according to Fiorito et al. (2015) cephalopod care and welfare guidelines.</t>
  </si>
  <si>
    <t>Ethics approval and consent to participate Authors who performed practical works complied with the legislation in the country and region where fieldwork was conducted. This study complies with the corresponding experimental animal project authorization resolution of the regional government (Xunta de Galicia, reference: ES360570202001/20/ FUN.01/BIOL.AN08/AGG01).</t>
  </si>
  <si>
    <t>Individual octopuses are treated as active animals that initiate excursions, occupy and repeatedly return to dens, use multiple dens, and change their principal den over time. These findings demonstrate self-initiated and flexible spatial behavior, although decision-making, learning, or cognition are not themselves the focus of the study.</t>
  </si>
  <si>
    <t>The study directly measures natural movement, activity rhythms, den occupancy, excursions, and den switching, providing information about how octopuses interact with and use their environment. These behaviors are relevant to understanding behavioral flexibility and experience in the wild</t>
  </si>
  <si>
    <t>Tagging &amp; Release Monitoring</t>
  </si>
  <si>
    <r>
      <t xml:space="preserve">Acoustic telemetry showed that </t>
    </r>
    <r>
      <rPr>
        <i/>
        <sz val="10"/>
        <rFont val="Arial"/>
        <family val="2"/>
      </rPr>
      <t>O. vulgaris</t>
    </r>
    <r>
      <rPr>
        <sz val="10"/>
        <rFont val="Arial"/>
        <family val="2"/>
      </rPr>
      <t xml:space="preserve"> used substantial areas around their dens and exhibited a predominantly crepuscular activity pattern. Dens were identified for 15 of the 24 field-tagged animals, with individuals making repeated excursions, sometimes occupying more than one den or changing their principal den during the tracking period. Males were detected for substantially longer periods than females, although estimated activity-space size did not differ clearly by sex or between day and night. The study demonstrates that individual common octopuses can show repeated, structured, and flexible patterns of space and den use that are difficult to capture through short-term direct observations.</t>
    </r>
  </si>
  <si>
    <t>Study conducted in the Cíes Archipelago, Galicia, Spain. Tagging methods were first tested on 5 O. vulgaris under captive conditions (4 captive-reared, 1 wild-caught), with tags attached with a steel filament (without anesthesia) through either the mantle or third arm and animals monitored for approximately one month for abnormal behavior, tag retention, and injury. The field study tagged 24 wild octopuses: 21 were trap-caught and tagged aboard a commercial fishing vessel, and 3 were hand-caught by SCUBA divers. Acoustic transmitters and T-bar tags were attached to the third arm; animals were weighed and sexed before release and subsequent acoustic tracking. The three diver-caught animals were explicitly returned to their original dens; fate of the pilot animals was not reported.</t>
  </si>
  <si>
    <t>Institutional Review Board Statement
In the present study, the collection and handling of all animals were approved by the Animal Care and Use Committee of the Chinese Academy of Fishery Sciences. In addition, we performed all experimental procedures in accordance with the guidelines outlined in the Care and Use of Laboratory Animals of the Chinese Academy of Fishery Sciences.</t>
  </si>
  <si>
    <t>Octopuses are treated as sources of gonadal tissue and molecular data. No choice, intentionality, behavioral flexibility, or individual agency is considered.</t>
  </si>
  <si>
    <t>The study examines gonadal transcriptomics and molecular pathways involved in sex differentiation. It does not investigate cognition, behavior, affective state, health, or welfare.</t>
  </si>
  <si>
    <t>21 wild O. sinensis were captured specifically for the study from littoral waters near Zhoushan, Zhejiang Province, China, on 15 February 2022. Males and females were separated and maintained in captivity for one week before sampling. Before gonadal dissection, animals were anesthetized using 20% ethanol. Gonadal tissues from all 21 animals were dissected; portions were frozen for RNA extraction and portions fixed in Bouin’s solution for histology. Histology was used to identify immature gonads. Three immature males and three immature females were used for RNA-seq, with an additional three males and three females of similar gonadosomatic index used for RT-qPCR validation. No release is reported, and removal of the gonads is incompatible with survival. The animals were captured and used specifically to obtain tissues for this research.</t>
  </si>
  <si>
    <t>Male and female immature gonads show extensive differential gene expression, identifying candidate genes and conserved signaling pathways associated with sex differentiation in O. sinensis.</t>
  </si>
  <si>
    <t>Compliance with ethical standards
All applicable international, national and/or institutional guidelines for sampling, care and experimental use of organisms for the study have been followed. This work was carried in two different projects (AQUOPUS, OCTOBLUE) with the aim to enhance the zootechnical aspects of the culture of O. vulgaris in captivity and, therefore, experiments do not fall under Directive 2010/63/EU of the European Parliament and of the Council, of 22 September 2010 on the protection of animals used for scientific purposes. Nonetheless, the rearing conditions were approved by the CSIC Ethics committee and Xunta de Galicia (competent authority: ES360570202001 / 17 / FUN.01 / BIOLAN.08AFG), as well as two independent ethics committee at the different institutions (Instituto de Investigaciones Marinas de Vigo for AQUOPUS, and University of Vigo for OCTOBLUE projects), and carried out by trained and competent personal.</t>
  </si>
  <si>
    <t>Octopuses are described as initiating and changing meaningful behaviors during senescence, including brooding, feeding refusal, egg laying outside dens, egg ingestion, and sexual interactions. These behaviors are documented as part of the animals’ natural terminal life stage, although decision-making or cognition is not explicitly examined.</t>
  </si>
  <si>
    <t>The study directly documents behavioral and physical changes associated with senescence, including unhealed wounds, skin lesions, pallor, arm-tip deterioration, substantial female weight loss, altered feeding, abnormal egg-related behaviors, and changes in sexual behavior. These observations provide direct information about health, behavioral state, and the physical experience of terminal senescence, even though welfare itself is not the principal research question.</t>
  </si>
  <si>
    <t>Nine O. vulgaris were analyzed: six laboratory-reared animals (2 males, 4 females) representing the first two consecutive captive generations, plus three wild adults (1 male, 2 females) maintained through adulthood and senescence in the laboratory. The first captive generation originated from mature eggs of a wild female monitored for two months in the Ría de Vigo, NW Spain; the second generation was produced from those captive-reared animals. Subadults and adults were maintained in 400 L tanks with individual PVC refuges and provisioned with fish and crustaceans. Females were isolated when egg laying began and allowed to spawn and brood in dens. One female was maintained at 14 °C from day 454 to evaluate temperature-related differences in egg laying; other animals were maintained at 18 °C. Weight sampling was the only procedure identified by the authors as experimental. Mature males and females were also mixed before spawning and after hatching to observe late-life sexual interactions, which were recorded photographically/video where possible. Physical condition, body weight, feeding, reproductive behavior, and senescence-associated behaviors were monitored. All study animals died naturally and were not sacrificed.</t>
  </si>
  <si>
    <t>Senescence in O. vulgaris involves marked sex-specific physical and behavioral changes, with females showing substantial weight loss and males surviving longer while retaining hectocotylus function until death.</t>
  </si>
  <si>
    <r>
      <t>O. vulgaris</t>
    </r>
    <r>
      <rPr>
        <sz val="10"/>
        <rFont val="Arial"/>
        <family val="2"/>
      </rPr>
      <t xml:space="preserve"> is represented through occurrence, catch, and distribution records rather than as an acting individual. Habitat use and coexistence are inferred at the population level, with no consideration of choice, intentionality, learning, or individual behavioral flexibility.</t>
    </r>
  </si>
  <si>
    <t>The study addresses species distribution, coexistence, habitat and temporal partitioning, and population trends. It does not provide insight into cognition, affective state, individual behavior, health, or welfare.</t>
  </si>
  <si>
    <r>
      <t xml:space="preserve">Secondary-data case study of </t>
    </r>
    <r>
      <rPr>
        <i/>
        <sz val="10"/>
        <rFont val="Arial"/>
        <family val="2"/>
      </rPr>
      <t>O. vulgaris</t>
    </r>
    <r>
      <rPr>
        <sz val="10"/>
        <rFont val="Arial"/>
        <family val="2"/>
      </rPr>
      <t xml:space="preserve"> and </t>
    </r>
    <r>
      <rPr>
        <i/>
        <sz val="10"/>
        <rFont val="Arial"/>
        <family val="2"/>
      </rPr>
      <t>Eledone cirrhosa</t>
    </r>
    <r>
      <rPr>
        <sz val="10"/>
        <rFont val="Arial"/>
        <family val="2"/>
      </rPr>
      <t xml:space="preserve"> occurrence around the UK. No animals were directly collected or handled for this study. Authors analyzed three existing data sources: ICES catch/landings data for 2000–2020, ICES DATRAS scientific bottom-trawl survey records for 2000–2022, and georeferenced occurrence records from GBIF and OBIS for 2000–2020. Records were restricted to areas intersecting the UK EEZ and analyzed at ICES division or Statistical Rectangle scale to quantify spatial and temporal coexistence. The study also considered potential species misidentification and implications for interpreting population dynamics.</t>
    </r>
  </si>
  <si>
    <r>
      <t>O. vulgaris</t>
    </r>
    <r>
      <rPr>
        <sz val="10"/>
        <rFont val="Arial"/>
        <family val="2"/>
      </rPr>
      <t xml:space="preserve"> is now rarely recorded in UK waters, while coexistence with </t>
    </r>
    <r>
      <rPr>
        <i/>
        <sz val="10"/>
        <rFont val="Arial"/>
        <family val="2"/>
      </rPr>
      <t>E. cirrhosa</t>
    </r>
    <r>
      <rPr>
        <sz val="10"/>
        <rFont val="Arial"/>
        <family val="2"/>
      </rPr>
      <t xml:space="preserve"> appears limited and may be structured by habitat and temporal partitioning.</t>
    </r>
  </si>
  <si>
    <t>Octopuses are portrayed as actively deploying flexible, targeted defensive actions against a predator, including enveloping the eel’s head, obstructing its gills, releasing ink, and modifying their response according to their physical capacity. The authors also explicitly consider whether experience from previous encounters could influence future defensive success.</t>
  </si>
  <si>
    <t>Three naturally occurring encounters between wild O. vulgaris and conger eels were independently recorded by recreational SCUBA divers in NW Spain and subsequently provided to the Cephalopod Behavior Lab at IIM-CSIC. Observations occurred at Ons Island in 2008, Las Minas Islet in 2022, and San Martiño Island in 2023 at depths of approximately 12–20 m over rocky substrate. Researchers analyzed the videos for defensive actions and estimated animal size from objects visible in the recordings. Octopuses were not captured, handled, restrained, or experimentally exposed to predators; the attacks and associated arm injuries occurred naturally and independently of the research.</t>
  </si>
  <si>
    <t>Wild O. vulgaris use coordinated arm manipulation and inking against conger eel attacks, sometimes sustaining substantial arm loss during defense.</t>
  </si>
  <si>
    <t>The study documents coordinated, targeted defensive behavior and explicitly considers whether experience gained during predator encounters may influence future responses, providing direct insight into behavioral flexibility and possible learning.</t>
  </si>
  <si>
    <t>O. vulgaris is treated primarily as a predator and trophic consumer. Feeding and predation are recognized, but they are examined as ecological and physiological processes rather than as goal-directed, flexible, or cognitively mediated behavior.</t>
  </si>
  <si>
    <t>The study investigates trophic position, predation potential, diet-derived isotope fractionation, and metabolic interpretation.</t>
  </si>
  <si>
    <t>No specific ethics approval, cephalopod welfare guidelines, anesthesia, analgesia, welfare monitoring, or other welfare recognition is reported. A collection/authorization number is reported for the experimentally maintained octopuses. No anesthesia or analgesia is described for tentacle tissue removal.</t>
  </si>
  <si>
    <t xml:space="preserve">O. vulgaris can potentially prey on invasive blue crab, but unusual negative nitrogen-isotope fractionation complicates interpretation of its trophic position. </t>
  </si>
  <si>
    <t xml:space="preserve">The study used two sets of O. vulgaris. SIA analysis: Five wild octopuses, approximately 2 kg each, were captured with basket traps in coastal waters south of the Ebro River mouth in Spain during field sampling, transported to the laboratory, and a tentacle fragment was dissected for stable-isotope analysis; their subsequent fate is not reported. Feeding experiment: Separately, 13 O. vulgaris were obtained alive from local fishermen operating in the outer Ebro Delta and transported to IRTA facilities for a trophic-enrichment experiment. Animals were weighed in a mesh bag and maintained together for two months in a 3000 L tank with PVC hides at approximately 17–20 °C. After 48 h acclimation using dead blue crab, they were fed 1–2 live blue crabs daily. At the end of the experiment they were reweighed, a small tentacle fragment was dissected (without anesthesia) from each animal for stable-isotope analysis, and all 13 were explicitly returned to the open sea. </t>
  </si>
  <si>
    <t>Octopuses are treated primarily as hosts of microbial communities and sources of mucus samples. No choice, intentionality, learning, or behavioral flexibility is examined.</t>
  </si>
  <si>
    <t>The study is primarily about sex-specific microbiome variation, but the authors propose behavioral and ecological differences between males and females as possible drivers of the observed microbial patterns. These implications are not the study’s main objective, but they provide incidental insight into sex-related behavioral or ecological variation in O. vulgaris.</t>
  </si>
  <si>
    <t>The authors report compliance with Spanish RD53/2013 and EU Directive 2010/63/EU, explicitly cite the Fiorito et al. (2015) cephalopod care and welfare guidelines, report ethics approval under project CEIBA 2017-0249, and anesthetized animals in 2% ethanol before sampling."Ethics statement
The animal study was approved by the Ethic Committee of the National Competent Authority (project number: CEIBA 2017-0249). The study was conducted in accordance with the local legislation and institutional requirements."</t>
  </si>
  <si>
    <t>Male and female O. vulgaris harbor compositionally distinct skin and mantle microbiomes despite similar overall microbial diversity</t>
  </si>
  <si>
    <t>Sixteen wild adult O. vulgaris, 9 males and 7 females, were collected by professional artisanal fishermen from the northwest coast of Tenerife, Canary Islands. Animals were transported alive to the Centro Oceanográfico de Canarias, individually housed for acclimation, sexed and weighed, and anesthetized by immersion in 2% ethanol until ventilation, depth, and coordination were suppressed. Researchers collected either external skin-associated mucus by repeated sterile swabbing of the head and body or mantle-associated mucus by swabbing the mantle cavity walls while avoiding the gills and other organs. Samples were frozen at −80°C for 16S rRNA amplicon sequencing. They do not report subsequent release, euthanasia, or other fate of the 16 octopuses.</t>
  </si>
  <si>
    <t>The paper repeatedly describes octopuses as actively using their environment, particularly seeking and selecting shelter. Clay shelter-pot fishing is explicitly described as depending on detailed knowledge of octopus behavior, including territoriality and the animal’s continual search for refuge. Agency is present in the framing, although cognition or decision-making is not a central subject.</t>
  </si>
  <si>
    <t>The paper is primarily about fisheries, cultural heritage, and sustainability, but it discusses octopus behavior as part of the ecological knowledge underlying the fishery. In particular, it describes shelter-seeking, habitat use, reproductive behavior, and fishers’ accumulated knowledge of the species’ behavior. These behavioral insights are relevant but are not the central research objective.</t>
  </si>
  <si>
    <t>No octopuses were directly used. The study employed qualitative ethnographic methods to examine artisanal O. vulgaris fishing with clay shelter pots in the Gulf of Cadiz. Methods included bibliographic and documentary review, archival and administrative analysis, participant observation in Punta Umbría and El Rompido, Spain, and Fuseta and Sagres, Portugal, during 2020–2021, interviews, discussion groups, narratives, and life histories. Sixty-six people directly involved in octopus fishing participated in discussion groups, with additional interviews of two Huelva fishers and four researchers from the Algarve Centre of Marine Sciences. The author also participated in the 2021 Octopus Fishery and Life Cycle Workshop. The paper synthesizes these observations with findings from previous fisheries studies; octopus captures, reproductive sampling, and pot experiments described later in the article were conducted in cited studies or other research projects, not as animal procedures performed for this study.</t>
  </si>
  <si>
    <t>Clay shelter-pot fishing represents longstanding ecological knowledge of O. vulgaris and is argued to provide a more selective, culturally significant alternative to intensive plastic-trap fisheries.</t>
  </si>
  <si>
    <t>Romania, USA</t>
  </si>
  <si>
    <t>O. vulgaris is treated solely as a seafood product whose physical, chemical, and sensory properties are measured during frozen storage.</t>
  </si>
  <si>
    <t>Commercial cephalopod products representing five species, including O. vulgaris, were purchased from local seafood markets and studied at the Max Rubner Institute in Hamburg, Germany. The products were existing marketed seafood rather than animals captured or killed specifically for the research. Samples were stored at −15°C, −18°C, and −23°C for up to three months and periodically assessed for pH, TVB-N, color, texture, and sensory characteristics. Additional thawing tests were conducted after refrigerated storage. A trained panel of 10 researchers evaluated flavor, texture, appearance, and overall acceptability. The number of individual O. vulgaris represented in the purchased products is not reported.</t>
  </si>
  <si>
    <t>O. vulgaris showed comparatively slow spoilage, and lower frozen-storage temperatures better preserved cephalopod quality and palatability.</t>
  </si>
  <si>
    <t>The paper explicitly frames O. vulgaris as possessing complex behavioural repertoires and describes octopuses voluntarily leaving water and crawling through intertidal areas. Their actions are treated as meaningful, adaptive behavior, although learning, awareness, or decision-making is not directly emphasized.</t>
  </si>
  <si>
    <t>The study explicitly aims to explain the physiological basis of a naturally occurring octopus behavior, terrestrial emersion and crawling. It links behavioral capacity to metabolic performance, antioxidant defenses, cellular repair, and possible aerial respiration, providing direct insight into how O. vulgaris physiologically supports an unusual behavioral repertoire.</t>
  </si>
  <si>
    <t>Experimental procedures were approved by the Faculdade de Ciências da Universidade de Lisboa animal welfare body and Portugal’s DGAV under Directive 2010/63/EU. The authors state that animal numbers were kept as low as possible for ethical reasons. For terminal tissue collection, they explicitly explain that anesthesia was omitted because a prolonged anesthetic procedure could compromise the immediate biochemical response; animals were instead killed by mechanical destruction of the brain by highly skilled operators following Fiorito et al. (2015), with death confirmed by cessation of circulation. "Ethics Experimental procedures were approved by Faculdade de Ciên
cias da Universidade de Lisboa animal welfare body (ORBEA) and 
Direção-Geral de Alimentação e Veterinaria (DGAV) also approved 
these experiments following the requirements imposed by the Directive 
2010/63/EU on the protection of animals used for scientific purposes."</t>
  </si>
  <si>
    <t>Twenty immature wild O. vulgaris, 10 females and 10 males, weighing 100–835 g, were caught in pots with assistance from local fishermen at Cascais and Figueira da Foz, Portugal, between June and September 2020. Animals were individually housed at the Laboratório Marítimo da Guia and acclimated for at least 48 h, with daily mussel feeding. Physiological performance was measured using intermittent-flow respirometry. Experimental treatments involved 2 min 30 s forced emersion followed by immediate sampling, 5-min recovery, or 24-h recovery. Controls included continuously submerged animals and a chase treatment in which octopuses were pursued and intermittently handled by hand for 5 min until they inked and jetted away. The five Chase-control animals were subsequently reused for the 24-h recovery treatment, so the total number of unique individuals remained 20. Animals used for biochemical analyses were killed without anesthesia by mechanical brain destruction, after which gill, digestive-gland, and mantle tissues were collected for antioxidant, stress-protein, lipid-peroxidation, DNA-damage, and related assays</t>
  </si>
  <si>
    <t>O. vulgaris tolerates brief emersion through physiological resilience that may support its ability to crawl between intertidal habitats.</t>
  </si>
  <si>
    <t>D and E</t>
  </si>
  <si>
    <t>Octopuses are represented only as seafood ingredients and genetically identifiable commercial taxa.</t>
  </si>
  <si>
    <t>The study concerns seafood identity, mislabelling, consumer perception, sustainability, and purchasing choices. It provides no meaningful insight into octopus cognition, behavior, affective state, health, or welfare.</t>
  </si>
  <si>
    <t>Twenty-five commercially prepared tielles were purchased from 25 retailers in Sète and nearby towns in southern France in May 2019. Retailer or product information concerning the claimed cephalopod ingredient was available for 23 products. Researchers sampled the filling of each tielle, extracting DNA from approximately 0.2–0.5 g of homogenized material and using CO1 metabarcoding to identify the cephalopod taxa present. Detected species were compared with retailer labelling and French government trade-name standards. The same tielles were used in a blind tasting involving 35 local participants, who evaluated flavour, acidity, spiciness, texture, and consistency; researchers also examined associations among species composition, flavour, price, and consumer attitudes toward sustainability. The O. vulgaris material was therefore derived from existing prepared seafood products purchased through normal retail channels, with no research-attributable capture or mortality.</t>
  </si>
  <si>
    <t>A citizen science project analysed the impact of using octopus or squid in preparing a local dish on consumers' perception. More than 30% of the products analysed were falsely labelled “octopus” when they were cooked with jumbo flying squid. Although tielles are touted as a local dish, most tielles were cooked with Pacific cephalopod species. Genetic Barcoding triggered a conversation about the consumer choice's social, economic and environmental implications.</t>
  </si>
  <si>
    <t>Cognition &amp; Learning</t>
  </si>
  <si>
    <t>The paper explicitly treats individual octopuses as decision-making, learning animals whose behavior varies in neophobia, neophilia, social and individual learning, exploration, and problem-solving performance. Individual differences and behavioral flexibility are central to the study.</t>
  </si>
  <si>
    <t>The study is explicitly designed to identify behavioral and biological traits associated with problem solving in O. vulgaris. It evaluates innovative problem solving, individual learning, social learning, responses to novelty, adaptation to captivity, and individual variation, making cognition and behavior the central research objective.</t>
  </si>
  <si>
    <t>The present study used historical behavioral and morphological records and states that no live animals were used for this work. The authors explicitly frame reuse of the historical dataset as consistent with the 3Rs and Directive 2010/63/EU. They also note that the original experiments occurred in 2002 and 2004, before cephalopods were brought within the Directive. "Institutional Review Board Statement
This study is based on the use of historical data/laboratory records; no live animals were utilized at any stage for this work. The data included herein originated from the PhD project of Dr L. Borrelli based on experiments carried out using live Octopus vulgaris (Mollusca, Cephalopoda) captured by local fishermen from the wild in various locations of the Bay of Naples (Tyrrhenian Sea, Italy) during the years 2002 and 2004. Thus, the behavioural and morphological data were collected and the experiments on live octopuses were carried out at least a decade prior to the entry into force of Directive 2010/63/EU—which for the first time included cephalopods in the list of animals whose use is regulated for scientific purposes in EU Member States. This work is compliant with the 3Rs principle as stated in Directive 2010/63/EU."</t>
  </si>
  <si>
    <t>The present paper reanalysed historical laboratory data from 54 O. vulgaris, 32 males and 22 females, originally used in a PhD project. The animals had been wild-caught by local fishermen at several sites in the Bay of Naples in 2002 and 2004, transported alive to the Stazione Zoologica Anton Dohrn, individually housed, and tested over 12 consecutive days. Historical assays included acclimatization to captivity, neophobia tests using prey and novel objects, observation of trained conspecifics followed by social-learning trials, an extractive-foraging puzzle box containing a live crab, novel-object preference, and an individual-learning task in which approach to a previously preferred stimulus was paired with a mild electric shock across nine trials. At the end of the original experiments, animals were sacrificed for brain measurements and other morphology, and age was estimated from beak growth rings. The 2023 study itself involved no new live-animal experimentation and instead statistically modelled relationships among these existing behavioral, morphometric, environmental, and demographic data.</t>
  </si>
  <si>
    <t>Neophilic octopuses approached the puzzle box more quickly and were more likely to solve it, while better individual-learning performance was associated with faster problem solving. However, very strong neophilia did not necessarily produce faster solutions, suggesting that exploratory tendencies can sometimes be suboptimal during problem solving. Season and location of origin also influenced behavioral traits, indicating substantial individual and population-level variation in octopus cognition.</t>
  </si>
  <si>
    <t>Italy, Sri Lanka, England</t>
  </si>
  <si>
    <t>The octopuses are described as struggling on initial exposure, becoming relaxed and unreactive, and showing measurable withdrawal responses, colour changes, and respiratory changes. These responses are interpreted primarily as physiological and reflexive indicators of anaesthetic depth rather than as expressions of choice, intentionality, learning, or problem solving.</t>
  </si>
  <si>
    <t>Welfare is a central objective of the study. The authors explicitly distinguish true anaesthesia from simple immobilisation, emphasize the need to prevent pain rather than merely incapacitate animals, and test an MgCl₂–isoflurane protocol intended to reduce stress while achieving reversible general anaesthesia.</t>
  </si>
  <si>
    <t>Research was approved under Directive 2010/63/EU, Italian Legislative Decree 26/2014, and the principles of Replacement, Reduction, and Refinement. The stated purpose of the protocol was to reduce animal stress and minimise anaesthetic use. "Institutional Review Board Statement
This research was approved following the European Directive 2010/63 EU L276, the Italian DL. 4/03/2014, n°26, and the ethical principles of Reduction, Refinement, and Replacement (Project n°608/2016-PR-17/06/2016; protocol n°DGSAF 0022292-P-03/10/2017)."</t>
  </si>
  <si>
    <t>Nine O. vulgaris, 5 males and 4 females weighing 0.5–1.0 kg, were captured in the Bay of Naples, purchased from a local fish market, and transferred alive to the University of Naples Federico II cephalopod facility. After acclimation, each animal was placed for 10 min in aerated seawater containing 1% MgCl₂, followed by 5 min exposure to 1% isoflurane while MgCl₂ remained present. Anaesthetic depth was assessed through respiratory rate, chromatophore colour, and repeated gentle touch stimulation of the arms and siphon to measure withdrawal responses. Most animals initially struggled when placed in MgCl₂, then became pale, immobile, and unreactive while continuing to breathe. All nine subsequently recovered, generally within 10–15 min, and were retained at the facility for later use in other experiments.</t>
  </si>
  <si>
    <t>Pretreatment with 1% MgCl₂ followed by 1% isoflurane produced rapid, reversible anaesthesia in O. vulgaris, with recovery generally occurring within 10–15 min. The protocol was proposed as a refinement that reduces stress and anaesthetic quantity while avoiding the problem of confusing paralysis with true anaesthesia.</t>
  </si>
  <si>
    <t>Belgium, Italy</t>
  </si>
  <si>
    <t>Euthanizing cephalopods solely for tissue removal does not require authorization from the National Competent Authority under Directive 2010/63/EU and its transposition into National Legislation. Samples were taken from local fishermen, and humane killing followed principles detailed in Annex IV of Directive 2010/63/ EU as described in the Guidelines on the Care and Welfare of Cephalopods (Fiorito et al. 2015). The sampling of octopuses from the wild included in this study was authorized by the Animal Welfare Body of Stazione Zoologica Anton Dohrn (Ethical Clearance: case 06/2020/ec AWB-SZN).</t>
  </si>
  <si>
    <t>Although the paper discusses O. vulgaris as a model for sophisticated cognition, learning, memory, and neural plasticity, the animal used in the study is treated as a source of genomic and tissue material. No individual choice, intentionality, behavioral flexibility, or agency is represented in the experimental work.</t>
  </si>
  <si>
    <t>The genome assembly is explicitly presented as a resource intended to advance research on the genomic and neural mechanisms underlying behavioral and neural plasticity, learning, memory, and sophisticated cognition in cephalopods. The study does not itself test cognition, but facilitating mechanistic understanding of cognition is one of its stated purposes.</t>
  </si>
  <si>
    <t>One adult male O. vulgaris, 780 g, was collected by fishermen in the Gulf of Naples, Italy, in May 2021 specifically for tissue collection. The animal was immediately humanely killed under EU cephalopod welfare guidance. The optic lobes, supra- and sub-oesophageal brain masses, and spermatophores were dissected, with tissues processed on ice and flash-frozen. High-molecular-weight DNA from spermatophore tissue was used for 10× Genomics and Oxford Nanopore sequencing, while brain tissue from the same animal was used for Omni-C sequencing. These datasets were combined to generate and manually curate a chromosome-scale genome assembly, followed by genome annotation and comparative analyses with other octopus genomes.</t>
  </si>
  <si>
    <t>The study produced a 2.8-Gb chromosome-scale O. vulgaris genome, with 99.34% of the assembly assigned to 30 chromosome-scale scaffolds. Comparisons with other octopuses indicate a broadly conserved chromosome complement accompanied by local genomic rearrangements, providing a major genomic resource for studying cephalopod evolution, plasticity, and the biological mechanisms underlying sophisticated cognition.</t>
  </si>
  <si>
    <t>Octopuses are treated solely as a source of commercially generated processing by-products. No behavior, choice, intentionality, learning, awareness, or individual variation is represented.</t>
  </si>
  <si>
    <t>The study concerns recovery and valorization of lipid compounds from octopus-processing waste. It provides no insight into octopus cognition, behavior, affective state, health, or welfare.</t>
  </si>
  <si>
    <t>O. vulgaris were captured near the Galician coast of north-west Spain. By-products remaining after commercial removal of the tentacles and heads were supplied by Frigoríficos Rosa de los Vientos S.L. in Marín, Pontevedra. The pooled by-products were refrigerated at 4 °C, transported to the laboratory, homogenized, lyophilized, minced, and used for lipid extraction. Researchers compared mixtures of ethanol, acetone, and ethyl acetate using a Simplex-Lattice design to optimize recovery of total lipids, phospholipids, EPA, DHA, and fatty-acid ratios, with conventional chloroform/methanol extraction used for comparison.</t>
  </si>
  <si>
    <t>Octopus processing waste contains recoverable phospholipids and omega-3 fatty acids, including EPA and DHA. The study identified different low-toxicity solvent mixtures that optimized recovery of specific lipid fractions, proposing a less toxic approach for valorizing commercial octopus by-products.</t>
  </si>
  <si>
    <t>Spain, Chile</t>
  </si>
  <si>
    <t>Spain, Austria</t>
  </si>
  <si>
    <t>Octopuses and their embryos are treated as sources of developmental and molecular data. The paper does not represent choice, intentionality, awareness, learning, problem solving, or other forms of individual agency.</t>
  </si>
  <si>
    <t>The study investigates developmental Hox and ParaHox gene expression and the evolutionary origins of the cephalopod body plan. Although cephalopod behavioral complexity is mentioned as broader context, the study does not meaningfully investigate cognition, behavior, affective state, health, or welfare.</t>
  </si>
  <si>
    <t>The authors state that work followed Spanish RD53/2013, Directive 2010/63/EU, Fiorito et al. cephalopod welfare guidelines, ARRIVE reporting guidelines, and institutional approval from the IIM-CSIC animal welfare body. They note that only prehatchlings were sacrificed and that these developmental stages were not covered by the applicable cephalopod provisions of the Directive.</t>
  </si>
  <si>
    <t>Adult O. vulgaris were caught by artisanal fishermen off Vigo, Spain, and maintained in a 400-L flow-through system under natural photoperiod and seawater temperatures, with shelters provided to promote spawning. Once eggs were laid, females were isolated and allowed to brood them without feeding. Prehatching embryos from several developmental stages were collected. Embryos were anesthetized in seawater below 2 °C, egg capsules were punctured, and animals were either fixed in paraformaldehyde for whole-mount in situ hybridization or preserved in RNAlater for RNA extraction. Transcriptomes were generated from pooled developmental stages, and Hox/ParaHox orthology and expression patterns were assessed using sequencing, phylogenetic analysis, PCR-derived probes, and in situ hybridization. Adult numbers and embryo numbers are not reported in the provided methods. Adult fate after reproduction is also not stated.</t>
  </si>
  <si>
    <t>Developmental expression of Hox and ParaHox genes in O. vulgaris shows substantial conservation with other mollusks. Hox expression in structures such as the arms, funnel, stellate ganglia, and shell rudiment supports deep developmental homology despite the highly derived cephalopod body plan.</t>
  </si>
  <si>
    <t>Octopuses are treated exclusively as seafood raw material for development of an age-friendly processed food. No behavior, choice, intentionality, cognition, or individual variation is represented.</t>
  </si>
  <si>
    <t>The study addresses food texture, processing, nutritional quality, safety, and consumer preference. It provides no insight into octopus cognition, behavior, affective state, health, or welfare.</t>
  </si>
  <si>
    <t>The only ethical approval reported concerns human sensory participants. No octopus-specific ethics, welfare procedures, anesthesia, humane killing, or cephalopod welfare guidance are described.</t>
  </si>
  <si>
    <t>Five fresh O. vulgaris, 572.0–641.4 g, were purchased in November 2022 from Samsamhaemul Co., Ltd. in Geoje-si, Republic of Korea. The octopuses were already commercial seafood products when acquired for the study. Arms were separated and subjected to combinations of vinegar immersion and sous vide heating to optimize softness using response surface methodology. The resulting products were evaluated for hardness, acidity, volatile basic nitrogen, microbial load, proximate composition, amino acids, fatty acids, minerals, heavy metals, and muscle microstructure by scanning electron microscopy. A trained five-person panel evaluated texture during optimization, and 30 adults aged 65–75 evaluated the final product for taste, texture, color, smell, and overall acceptance.</t>
  </si>
  <si>
    <t>Vinegar immersion combined with optimized sous vide processing reduced octopus-arm hardness by approximately 83% and produced a highly preferred texture. The resulting pulpo prototype was designed as an age-friendly seafood product for older adults with chewing difficulties.</t>
  </si>
  <si>
    <t>Institutional Review Board Statement
Not applicable. The samples obtained for analysis came from fisheries and were collected from dead animals brought to the port by fishermen, which were then placed for sale at the fish market. The work on which the article was based was financed by the Spanish “Ministerio de Ciencia e Innovación” and did not require the approval of the ethics committee because of the type of work to be carried out.</t>
  </si>
  <si>
    <t>Octopuses are represented as components of exploited populations and sources of genetic samples.</t>
  </si>
  <si>
    <t>The study addresses population genetics, evolutionary history, spatial and temporal genetic structure, and implications for fisheries management.</t>
  </si>
  <si>
    <t>O. vulgaris tissue samples were obtained from artisanal fisheries in Asturias, Galicia, Algarve, and the Canary Islands. Sixty samples were collected during 2020–2021, except Canary Islands samples collected during 2018–2020, and 30 archived samples from Asturias and Algarve originated from the 2006–2007 fishing season. Three additional samples from the Basque Country and western and eastern Mediterranean were included in selected phylogenetic analyses. Samples came from dead animals landed by fishermen for commercial sale, were preserved in 70% ethanol, and analyzed using mitochondrial COI and control-region sequencing, population-genetic statistics, haplotype networks, and phylogenetic analyses.</t>
  </si>
  <si>
    <t>Northeast Atlantic O. vulgaris showed little fine-scale spatial genetic differentiation, although the Canary Islands population was the most distinct. Two major mitochondrial lineages were identified, including the first confirmation of the southern haplogroup in the northern Iberian Peninsula, indicating a more continuous distribution than previously recognized. Temporal shifts in haplogroup frequencies in contact zones may reflect changing oceanographic conditions and could be relevant to fisheries management under climate change.</t>
  </si>
  <si>
    <t>The paralarvae are represented as behaviorally responsive animals that alter their defensive behavior following direct interaction with a predator. Inking is interpreted as a context-dependent antipredator response triggered by the experience of being engulfed and ejected, but the paper does not frame this as higher cognition, deliberate planning, or problem solving.</t>
  </si>
  <si>
    <t>The study directly investigates the behavioral repertoire of O. sinensis paralarvae during predator encounters, including responses to engulfment, ejection, and subsequent inking. It therefore contributes directly to understanding sensory-behavioral mechanisms underlying antipredator behavior.</t>
  </si>
  <si>
    <t>Ethical approval This study was approved by the Committee on the Ethics of Animal Experiments at Tokyo University of Marine Science and Technology (permission number: R2-S1), where the experiments were carried out. The authors state that they used the fewest animals possible to obtain reliable results. Paralarvae used for mantle measurements were anesthetized with ethanol following cephalopod welfare guidance, and hypothermia was used to immobilize animals in Experiment 3 specifically to avoid introducing anesthetic agents that could alter predator behavior.</t>
  </si>
  <si>
    <t>Two wild female O. sinensis were captured by trap or pot in the Seto Inland Sea off Oita and Okayama, Japan, and maintained individually in flow-through systems until spawning. Ten egg strings from each female were transported to Tokyo University of Marine Science and Technology and maintained until hatching. Newly hatched, day-0 paralarvae were used. In Experiment 1, 150 individual paralarvae were each introduced to a tank containing a starved predatory fish, Girella punctata, for 10 min; many were engulfed and subsequently rejected, sometimes repeatedly, and inking responses were recorded. No paralarvae died after engulfment and ejection. Experiment 2 exposed 15 additional paralarvae to fish together with Artemia to compare prey responses. Experiment 3 exposed 9 paralarvae, immobilized by gradual cooling to 4 °C, to predatory fish to assess the role of movement. Thirty paralarvae were also anesthetized with ethanol for mantle-length measurements, but whether these overlap with experimental animals is not specified.</t>
  </si>
  <si>
    <t>O. sinensis paralarvae possess an effective antipredator response in which they are often rejected after being engulfed by fish and may release ink immediately after ejection. The ink appears to distract predators, increasing the interval before subsequent attacks and potentially allowing paralarvae to escape.</t>
  </si>
  <si>
    <t>Turkey</t>
  </si>
  <si>
    <t>O. vulgaris is treated as a source of tissue for contaminant analysis and as a seafood species relevant to human exposure. No choice, intentionality, awareness, learning, behavioral flexibility, or individual agency is represented.</t>
  </si>
  <si>
    <t>The study does not assess cognition, behavior, affective state, or welfare directly, but it explicitly frames metal contamination as a threat to aquatic-animal well-being and measures tissue-specific contaminant burdens that may be relevant to organismal health. The principal objectives remain environmental contamination and human dietary risk.</t>
  </si>
  <si>
    <t>O. vulgaris were obtained from local fishermen at four Turkish sampling locations: İskenderun, Mersin, Bodrum, and Çanakkale, between November and December 2020. Ten individuals were sampled at each locality. Specimens were transported to the laboratory on ice and stored at −20 °C. Mantle, gill, and hepatopancreas tissues were digested with nitric acid and analyzed for Al, Cr, Co, Ni, Cd, Pb, Mn, Fe, Cu, and Zn using ICP-MS. Tissue and geographic differences in metal accumulation were assessed, and mantle concentrations were used to calculate Target Hazard Quotients and lifetime cancer risk associated with human consumption. The methods do not state whether the fishermen captured these particular octopuses specifically for the study or whether they came from routine commercial catches.</t>
  </si>
  <si>
    <t>Metal accumulation varied substantially among tissues and sampling locations, with the hepatopancreas generally containing the highest concentrations and the mantle the lowest. Fe, Cu, and Zn were the most abundant metals. Estimated THQ and lifetime cancer risk indicated no significant human health risk from consumption of the sampled cephalopods from the Marmara, Aegean, and Mediterranean Seas.</t>
  </si>
  <si>
    <t>Cephalopods are represented as clinical and pathological cases rather than as behaving or decision-making individuals. No choice, intentionality, learning, problem solving, or behavioral agency is discussed.</t>
  </si>
  <si>
    <t>Health and welfare-related outcomes are central to the study. The authors characterize diseases, lesions, causes of death, and differences associated with aquarium versus laboratory management, explicitly intending the findings to support disease investigation, treatment, and refinement of captive husbandry.</t>
  </si>
  <si>
    <t>The study was retrospective and used archived diagnostic records and tissues from cephalopods that had already died before submission. The authors therefore state that ethical approval was not required.</t>
  </si>
  <si>
    <t>Retrospective review of 593 captive cephalopods representing 22 species submitted to International Zoo Veterinary Group Pathology between May 2003 and August 2022. The cohort included 340 octopuses, all originating from aquaria, together with cuttlefish, squid, and nautiluses from aquaria or laboratories. All animals had died before whole carcasses or formalin-fixed tissue sets were submitted for diagnostic evaluation. Archived clinical histories, gross examinations, histopathology, diagnoses, affected organs, etiologic agents, cause of death or reason for euthanasia, and collection type were reviewed and, where necessary, re-evaluated by veterinary pathologists. Selected cases also included microbiological culture. The study compared disease patterns across species and captive-management settings.</t>
  </si>
  <si>
    <t>193 O. vulgaris, 340 octopuses total, (593 cephalopods)</t>
  </si>
  <si>
    <t>A 19-year retrospective pathology survey identified major disease patterns in captive cephalopods. Coccidiosis was particularly prevalent in common octopuses and was frequently implicated in mortality, while ulcerative dermatitis and other disease patterns varied among taxa and captive settings. The findings establish a clinical baseline for improving diagnosis, treatment, and husbandry of captive cephalopods.</t>
  </si>
  <si>
    <t xml:space="preserve">Malaysia </t>
  </si>
  <si>
    <t>O. vulgaris is used only as a biological model for sucker morphology and adhesion mechanics.</t>
  </si>
  <si>
    <t>No animal ethics, welfare procedures, anesthesia, or cephalopod-specific welfare guidance are reported because no living or dead octopuses were directly used in the study.</t>
  </si>
  <si>
    <t>No octopuses were directly used. The researchers developed an artificial adhesive patch inspired by O. vulgaris sucker morphology combined with a tree-frog-inspired hexagonal pad. The work included theoretical modeling of suction, van der Waals, capillary, and hydrodynamic adhesion mechanisms; finite-element simulations of several artificial micro-sucker geometries; fabrication of PDMS sucker arrays using 3D-printed molds; and experimental testing on artificial skin and other substrates. Adhesion was assessed under dry, wet, underwater, and oil conditions and across different preload forces, attachment durations up to 24 h, repeated attachment-detachment cycles, and substrate roughness.</t>
  </si>
  <si>
    <t>An O. vulgaris-inspired microscopic sucker design produced strong and durable adhesion under dry, wet, submerged, and oily conditions, outperforming several previous micro-sucker geometries. The design maintained adhesion for up to 24 h and through repeated contact cycles, supporting its potential use in skin-conforming medical patches.</t>
  </si>
  <si>
    <t>Ethics
All experimental animals were held and handle according to the guidelines for the EU Directive 2010/63/EU for cephalopod welfare in order to minimize the suffering and distress of the animals.</t>
  </si>
  <si>
    <t>Israel, USA</t>
  </si>
  <si>
    <t>The paper explicitly frames O. vulgaris as a behaviorally advanced animal capable of long-term memory and associative learning. Learning and memory are central to the interpretation of vertical-lobe circuitry, so agency is directly represented in the paper even though the individual animal was used for neuroanatomical rather than behavioral experimentation.</t>
  </si>
  <si>
    <t>The study directly investigates the neural circuitry underlying acquisition and storage of associative long-term memory. Its central contribution is a mechanistic account of how the vertical lobe may encode sparse sensory representations, regulate network activity, and support learning.</t>
  </si>
  <si>
    <t>One mature wild O. vulgaris, approximately 130 g, was collected by a local fisherman from the Israeli Mediterranean coast and held individually in artificial seawater for several days. It was deeply anesthetized in seawater containing 55 mM MgCl₂ and 2% ethanol. The supraoesophageal brain mass was then removed through a dorsal cranial opening, making the procedure terminal. The brain was sectioned sagittally and vertical-lobe slices were subjected to several fixation protocols. Serial ultrathin sections were collected and imaged using scanning electron microscopy. A large connectomics dataset comprising 892 serial sections and a smaller high-magnification dataset were reconstructed using machine-learning-assisted and manual segmentation. Neural cell types, synaptic connectivity, wiring architecture, vesicles, and subcellular structures were characterized to reconstruct vertical-lobe circuitry.</t>
  </si>
  <si>
    <t>The O. vulgaris vertical lobe contains two interconnected feedforward networks involving simple and complex amacrine interneurons. Sparse sensory inputs appear to create highly selective, potentially “memorizable” representations at synapses capable of long-term potentiation, while complex amacrine cells may integrate broader activity and sharpen output through inhibition. The study identifies a distinctive neural architecture for associative learning that differs from, but shares functional principles with, learning circuits in other animals.</t>
  </si>
  <si>
    <t>Octopuses are represented as behaviorally responsive individuals whose body patterns and interactions change according to environmental complexity. They interact with habitat features, conspecifics, and human operators, and individuals in enriched conditions express a broader behavioral repertoire. The study recognizes meaningful behavioral responses to captive conditions but does not explicitly frame them in terms of higher cognition, intentional decision-making, or individual personality.</t>
  </si>
  <si>
    <t>The central purpose is to determine how environmental enrichment affects octopus behavior and growth in captivity. The authors explicitly interpret restricted body-pattern repertoires in basic environments as resembling patterns associated with hostility and conflict and recommend enrichment to improve captive conditions, particularly in aquaculture systems.</t>
  </si>
  <si>
    <t>All sampling and manipulation procedures were approved by the University of Bologna Ethics Committee and conducted under EU Directive 2010/63/EU. The study also explicitly discusses enrichment, territorial safety, prevention of aggression and escape, and the need for captive environments that permit more natural behavior.</t>
  </si>
  <si>
    <t>Twelve wild sub-adult O. vulgaris, six males and six females, were caught by professional fishermen in the Ionian Sea near Gallipoli, Italy, using the traditional “polpara” capture method and transported individually in netted PVC cylinders to the laboratory in Cesenatico. After three days of acclimation, animals were arranged as six male-female pairs and assigned to either a Basic or Enriched recirculating aquaculture environment, with six individuals per treatment. Compartments allowed visual/social interaction while limiting aggression, and each animal had an artificial den. The Basic condition provided food and social contact but little physical complexity. The Enriched condition additionally included sand, naturalized wall coloration, shells, stones, and plastic toys. Animals were observed for 4 h/day, 5 days/week, for body-pattern expression and interactions. They were fed ad libitum and subjected to gradually increasing water temperature and photoperiod. Body weight was measured initially, every two weeks, and at the end to calculate growth rates. Fate or release after the experiment is not reported.</t>
  </si>
  <si>
    <t>O. vulgaris maintained in enriched RAS environments displayed a broader repertoire of body patterns and gained significantly more weight than animals housed in basic conditions. Octopuses in basic environments showed patterns resembling those associated with hostility and inter- or intraspecific conflict and interacted less with their surroundings, conspecifics, and operators. The study therefore supports environmental enrichment as both a behavioral and husbandry requirement for captive O. vulgaris, including proposed commercial aquaculture systems.</t>
  </si>
  <si>
    <t>O. vulgaris appears only as the target species of the pot fishery responsible for the discarded or lost fishing gear being studied. Octopuses themselves are not observed or represented as behaving individuals.</t>
  </si>
  <si>
    <t>The paper concerns marine plastic pollution generated by lost octopus pots, their spatial distribution and movement on beaches and dunes, and options for waste management. It provides no meaningful insight into octopus cognition, behavior, health, affective state, or welfare.</t>
  </si>
  <si>
    <t>No octopuses or other experimental animals were used, and no animal-welfare or ethics procedures are reported.</t>
  </si>
  <si>
    <t>No octopuses were directly used. The study examined plastic octopus pots used primarily to capture O. vulgaris along the North Atlantic Iberian coast. The authors reviewed information on pot fisheries and analyzed existing OSPAR beach-litter monitoring data from 25 beaches in Portugal, Galicia, and Andalusia collected between 2001 and 2022. They assessed seasonal and geographic patterns in plastic, fishing-related litter, and octopus-pot abundance. The analysis was supplemented with field observations, photographs, drone imagery and previously generated monitoring information describing how lost pots strand, move inland, become buried in dunes, fragment, and potentially contribute to microplastic pollution. The paper then evaluated management options including monitoring, retrieval, reuse, recycling, and reporting of lost gear.</t>
  </si>
  <si>
    <t>Lost plastic octopus pots constitute a substantial and spatially concentrated source of fishing-related marine litter on parts of the North Atlantic Iberian coast, particularly central and northern Portugal. OSPAR data showed strong seasonal and geographic variation, with octopus pots comprising more than 30% of fishing-related litter on several northern Portuguese beaches and reaching approximately 50% during spring at some sites. Once stranded, pots can be transported into dunes, buried, later re-exposed, and fragmented, increasing their persistence and potential contribution to microplastic pollution. The authors recommend improved gear-loss reporting, expanded monitoring, clean-up programs, and Reduce, Reuse and Recycle strategies for octopus-pot waste.</t>
  </si>
  <si>
    <t>Paralarvae are portrayed as active, selective predators whose prey choices and foraging tactics change during development and as they move from coastal to oceanic environments. The paper explicitly discusses prey preference, avoidance, selective hunting, and ontogenetic changes in foraging, but does not frame these behaviors as higher cognition, learning, or deliberate problem solving.</t>
  </si>
  <si>
    <t>Behavioral ecology is a central objective. The authors explicitly assess food selection, trophic niche breadth, selective predation, and whether foraging tactics change during development. The study therefore provides direct insight into natural feeding behavior even though it does not address welfare or cognition in the narrower sense.</t>
  </si>
  <si>
    <t>Wild O. vulgaris paralarvae were collected during research cruises in the Iberian–Canary Current system. In 2009, zooplankton was sampled with bongo-net tows off the NW Iberian Peninsula and western Morocco at coastal, slope, and oceanic stations and at several depth strata. Plankton samples were immediately fixed in 96% ethanol and stored at −20 °C. A total of 134 O. vulgaris paralarvae were recovered from these samples, 99 from NW Iberia and 35 from Morocco, and sucker numbers were counted. Sixty NW Iberian and all 35 Moroccan individuals were selected for diet analysis. Five additional recently hatched paralarvae collected at the surface of the Ría de Vigo in 2010 were included, giving 100 paralarvae analyzed for diet. Digestive tracts were dissected and prey DNA characterized through COI amplicon sequencing and metabarcoding. Diet composition was compared with local zooplankton availability to quantify prey selection, trophic niche breadth, geographic differences, and ontogenetic changes in foraging.</t>
  </si>
  <si>
    <t>Wild O. vulgaris paralarvae are selective rather than indiscriminate predators, with diet changing substantially as they develop and move from coastal toward oceanic habitats. DNA metabarcoding identified up to 87 prey species. Coastal meroplankton became less important with increasing sucker number, while oceanic prey such as copepods, siphonophores, pteropods, and krill became increasingly important. Low average trophic niche breadth further indicated specialized prey selection throughout much of the planktonic phase.</t>
  </si>
  <si>
    <t>Spain, England, Australia</t>
  </si>
  <si>
    <t>The entire study is about sensory perception. It identifies a distributed extraocular light-sensing system in the suckers, skin, and optic lobes and explicitly interprets this as environmental information gathering with possible relevance to camouflage and vision.</t>
  </si>
  <si>
    <t>The octopus is treated as an active individual whose use of particular arms varies with behavioral context, injury history, and recovery over time. Flexible and functionally differentiated arm use is demonstrated, but cognition, deliberate choice, or subjective experience is not directly tested and the authors hedge their interpretation.</t>
  </si>
  <si>
    <t xml:space="preserve">Live O. vulgaris were captured for research, maintained in captivity, anesthetized, and subjected to repeated physiological sampling by caudal-vein hemolymph extraction. Although animals recovered after individual procedures, post-study release is not reported </t>
  </si>
  <si>
    <t>2 broodstock females; at least 1,174 paralarvae</t>
  </si>
  <si>
    <t>O. vulgaris is represented only as the original biological source from which ozopromide had previously been identified. The present study chemically synthesizes the compound and evaluates its biomedical properties</t>
  </si>
  <si>
    <t>No octopuses were directly used in the present study, and no cephalopod-specific ethics, welfare procedures, anesthesia, euthanasia, or welfare guidance are reported. Ethical procedures are described for human blood donors/PBMC samples, including informed consent and compliance with human-research standards.</t>
  </si>
  <si>
    <t>No O. vulgaris individuals or octopus tissues were directly used. Ozopromide (OPC), a compound previously isolated from O. vulgaris ink, was chemically synthesized from L-proline and 3-amino-2-azepanone and structurally confirmed using FTIR, ¹H/¹³C-NMR, and COSY spectroscopy. Synthesized OPC was tested against several human cancer cell lines and non-cancerous cells using cytotoxicity assays. Pro-apoptotic effects were evaluated in A549 lung-cancer cells using morphology and flow cytometry. Human PBMCs were used to assess ROS production and inflammatory markers including IL-4, IL-6, IL-8, IL-10, and NF-κB. Molecular docking and ADMET analyses were performed in silico to investigate potential interactions with apoptosis- and inflammation-related proteins.</t>
  </si>
  <si>
    <t>Chemically synthesized ozopromide reproduced the structure of a compound previously identified from O. vulgaris ink and showed antiproliferative activity against several human cancer cell lines, with the strongest effect reported for A549 lung-cancer cells. OPC promoted apoptotic responses, reduced IL-6 and IL-8 expression in stimulated human immune cells, and showed predicted binding affinity for apoptosis-related targets including Akt-1 and Bcl-2. The findings identify ozopromide as a marine-derived compound with potential anti-inflammatory and anticancer applications that warrants further pharmacological investigation.</t>
  </si>
  <si>
    <t>Ethics statement
Ethical review and approval was not required for the animal study because killing animals solely for tissue removal does not require authorization from the National Competent Authority under Directive 2010/63/EU (European Parliament &amp; Council of the European Union, 2010) and its transposition into National legislation. Sampling of octopuses from artisanal fishermen included in this study was authorized by the local Animal Welfare Body (Ethical Clearance: case 5/2021/ec AWB-SZN).</t>
  </si>
  <si>
    <t>Mexico, Spain</t>
  </si>
  <si>
    <t>O. vulgaris is treated primarily as a molecular and neurophysiological research subject whose tissue-specific gene expression is characterized mechanistically. The paper explicitly situates the work within research on learning, memory, neural plasticity, regeneration, neuromodulation, and functional differences among arms, but the study does not examine individual choice, autonomy, problem solving, or behavioral flexibility itself.</t>
  </si>
  <si>
    <t>Although the study does not experimentally test cognition, development of reliable reference genes for the O. vulgaris nervous system is explicitly motivated as a prerequisite for investigating the molecular machinery underlying learning, memory, neural plasticity, and related biological functions. This is analogous to the chromosome-scale genome paper, where enabling future mechanistic study of cognition was an explicit stated purpose.</t>
  </si>
  <si>
    <t>The study first screened existing O. vulgaris transcriptomic datasets from adult nervous-system, arm, muscle, and peripheral-ganglion tissues to identify 77 candidate reference genes with relatively high and stable expression. For biological validation, tissues were newly harvested from five adult O. vulgaris obtained through artisanal fishermen. Twelve tissues were collected from each animal, including supra- and suboesophageal brain masses, optic lobe, gastric and stellate ganglia, mantle muscle, anterior and posterior arm tips and arm portions, arm muscle, and gill. RNA was extracted and candidate reference genes evaluated by qRT-PCR using geNorm, NormFinder, BestKeeper, Delta-CT, and RefFinder. Selected reference genes were then validated by examining expression of nine target genes across nervous-system regions. The ethics statement makes clear that animals were killed for tissue removal; the supplied text does not report the killing or anesthesia procedure.</t>
  </si>
  <si>
    <t>The study identified a validated set of stable reference genes for qRT-PCR studies in adult O. vulgaris. Ov-RNF7 and Ov-RIOK2 were particularly suitable for nervous-system tissues, while Ov-EIF2A and Ov-CUL1 performed well across the broader range of tissues examined. Validation with nine target genes demonstrated that reference-gene choice can substantially affect normalized expression results. The resulting reference set provides a methodological foundation for more reliable investigation of gene-expression mechanisms in the octopus nervous system and appendages, including future work on neural plasticity, learning, memory, regeneration, and neuromodulation.</t>
  </si>
  <si>
    <t>Portugal, Spain</t>
  </si>
  <si>
    <t>Wales, England</t>
  </si>
  <si>
    <t>*</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</si>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</sst>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b/>
      <sz val="10"/>
      <name val="Arial"/>
      <family val="2"/>
    </font>
    <font>
      <sz val="10"/>
      <name val="Arial"/>
      <family val="2"/>
    </font>
    <font>
      <i/>
      <sz val="10"/>
      <name val="Arial"/>
      <family val="2"/>
    </font>
    <font>
      <b/>
      <sz val="11"/>
      <color theme="1"/>
      <name val="Aptos Narrow"/>
      <family val="2"/>
      <scheme val="minor"/>
    </font>
    <font>
      <i/>
      <sz val="10"/>
      <name val="Arial"/>
      <family val="2"/>
    </font>
    <font>
      <b/>
      <i/>
      <sz val="10"/>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13">
    <xf numFmtId="0" fontId="0" fillId="0" borderId="0" xfId="0"/>
    <xf numFmtId="0" fontId="4" fillId="0" borderId="1" xfId="0" applyFont="1" applyBorder="1" applyAlignment="1">
      <alignment horizontal="center" vertical="top"/>
    </xf>
    <xf numFmtId="0" fontId="0" fillId="0" borderId="0" xfId="0" applyAlignment="1">
      <alignment wrapText="1"/>
    </xf>
    <xf numFmtId="0" fontId="1" fillId="0" borderId="0" xfId="0" applyFont="1"/>
    <xf numFmtId="0" fontId="2" fillId="0" borderId="0" xfId="0" applyFont="1"/>
    <xf numFmtId="0" fontId="3" fillId="0" borderId="0" xfId="0" applyFont="1"/>
    <xf numFmtId="0" fontId="5" fillId="0" borderId="0" xfId="0" applyFont="1"/>
    <xf numFmtId="0" fontId="0" fillId="0" borderId="0" xfId="0" applyAlignment="1">
      <alignment vertical="center" wrapText="1"/>
    </xf>
    <xf numFmtId="0" fontId="2" fillId="0" borderId="0" xfId="0" applyFont="1" applyAlignment="1">
      <alignment vertical="center" wrapText="1"/>
    </xf>
    <xf numFmtId="0" fontId="2" fillId="0" borderId="0" xfId="0" applyFont="1" applyAlignment="1">
      <alignment wrapText="1"/>
    </xf>
    <xf numFmtId="3" fontId="0" fillId="0" borderId="0" xfId="0" applyNumberFormat="1"/>
    <xf numFmtId="3" fontId="2" fillId="0" borderId="0" xfId="0" applyNumberFormat="1" applyFont="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1BF75-B350-43BE-AC4B-FF51A7BF2E4C}">
  <dimension ref="A1:AT232"/>
  <sheetViews>
    <sheetView topLeftCell="AK1" workbookViewId="0">
      <pane ySplit="1" topLeftCell="A51" activePane="bottomLeft" state="frozen"/>
      <selection pane="bottomLeft" activeCell="AQ54" sqref="AQ54"/>
    </sheetView>
  </sheetViews>
  <sheetFormatPr defaultRowHeight="20.100000000000001" customHeight="1" x14ac:dyDescent="0.2"/>
  <cols>
    <col min="1" max="1" width="7.42578125" bestFit="1" customWidth="1"/>
    <col min="2" max="2" width="16.5703125" bestFit="1" customWidth="1"/>
    <col min="3" max="3" width="15.85546875" customWidth="1"/>
    <col min="4" max="4" width="10.85546875" bestFit="1" customWidth="1"/>
    <col min="5" max="5" width="15.28515625" bestFit="1" customWidth="1"/>
    <col min="6" max="6" width="9.5703125" customWidth="1"/>
    <col min="7" max="7" width="8" bestFit="1" customWidth="1"/>
    <col min="8" max="8" width="9.85546875" bestFit="1" customWidth="1"/>
    <col min="9" max="9" width="9.42578125" bestFit="1" customWidth="1"/>
    <col min="10" max="10" width="16.42578125" bestFit="1" customWidth="1"/>
    <col min="11" max="11" width="16.42578125" customWidth="1"/>
    <col min="12" max="12" width="15.28515625" hidden="1" customWidth="1"/>
    <col min="13" max="13" width="12.140625" hidden="1" customWidth="1"/>
    <col min="14" max="14" width="21.42578125" hidden="1" customWidth="1"/>
    <col min="15" max="15" width="11.7109375" hidden="1" customWidth="1"/>
    <col min="16" max="16" width="11.140625" customWidth="1"/>
    <col min="17" max="17" width="9.7109375" customWidth="1"/>
    <col min="18" max="18" width="7.28515625" customWidth="1"/>
    <col min="19" max="19" width="7.28515625" hidden="1" customWidth="1"/>
    <col min="20" max="20" width="5.42578125" hidden="1" customWidth="1"/>
    <col min="21" max="21" width="9.85546875" hidden="1" customWidth="1"/>
    <col min="22" max="22" width="9.140625" hidden="1" customWidth="1"/>
    <col min="23" max="23" width="13.42578125" hidden="1" customWidth="1"/>
    <col min="24" max="24" width="4.140625" hidden="1" customWidth="1"/>
    <col min="25" max="25" width="8.140625" hidden="1" customWidth="1"/>
    <col min="26" max="26" width="16.7109375" hidden="1" customWidth="1"/>
    <col min="27" max="27" width="14.7109375" hidden="1" customWidth="1"/>
    <col min="28" max="28" width="14.42578125" hidden="1" customWidth="1"/>
    <col min="29" max="29" width="12.85546875" hidden="1" customWidth="1"/>
    <col min="30" max="30" width="18.42578125" hidden="1" customWidth="1"/>
    <col min="31" max="31" width="20.85546875" hidden="1" customWidth="1"/>
    <col min="32" max="32" width="7.42578125" hidden="1" customWidth="1"/>
    <col min="33" max="33" width="24.28515625" bestFit="1" customWidth="1"/>
    <col min="34" max="34" width="24.28515625" customWidth="1"/>
    <col min="35" max="35" width="15.28515625" bestFit="1" customWidth="1"/>
    <col min="36" max="36" width="13.140625" bestFit="1" customWidth="1"/>
    <col min="37" max="37" width="22.7109375" customWidth="1"/>
    <col min="38" max="41" width="19.42578125" customWidth="1"/>
    <col min="42" max="42" width="12.5703125" bestFit="1" customWidth="1"/>
    <col min="43" max="43" width="13.85546875" bestFit="1" customWidth="1"/>
    <col min="44" max="44" width="13.85546875" customWidth="1"/>
    <col min="45" max="45" width="23.42578125" bestFit="1" customWidth="1"/>
  </cols>
  <sheetData>
    <row r="1" spans="1:46" ht="20.100000000000001" customHeight="1" x14ac:dyDescent="0.2">
      <c r="A1" t="s">
        <v>0</v>
      </c>
      <c r="B1" t="s">
        <v>1</v>
      </c>
      <c r="C1" t="s">
        <v>2</v>
      </c>
      <c r="D1" t="s">
        <v>3</v>
      </c>
      <c r="E1" t="s">
        <v>4</v>
      </c>
      <c r="F1" t="s">
        <v>5</v>
      </c>
      <c r="G1" s="3" t="s">
        <v>6</v>
      </c>
      <c r="H1" t="s">
        <v>7</v>
      </c>
      <c r="I1" t="s">
        <v>8</v>
      </c>
      <c r="J1" t="s">
        <v>9</v>
      </c>
      <c r="K1" s="3" t="s">
        <v>3624</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3624</v>
      </c>
      <c r="AG1" s="4" t="s">
        <v>3626</v>
      </c>
      <c r="AH1" t="s">
        <v>3655</v>
      </c>
      <c r="AI1" s="1" t="s">
        <v>3643</v>
      </c>
      <c r="AJ1" s="1" t="s">
        <v>3627</v>
      </c>
      <c r="AK1" s="1" t="s">
        <v>3628</v>
      </c>
      <c r="AL1" s="1" t="s">
        <v>3629</v>
      </c>
      <c r="AM1" s="1" t="s">
        <v>3736</v>
      </c>
      <c r="AN1" s="1" t="s">
        <v>3948</v>
      </c>
      <c r="AO1" s="1" t="s">
        <v>3737</v>
      </c>
      <c r="AP1" s="1" t="s">
        <v>3630</v>
      </c>
      <c r="AQ1" s="1" t="s">
        <v>3631</v>
      </c>
      <c r="AR1" s="1" t="s">
        <v>3634</v>
      </c>
      <c r="AS1" s="1" t="s">
        <v>3636</v>
      </c>
      <c r="AT1" s="1" t="s">
        <v>3641</v>
      </c>
    </row>
    <row r="2" spans="1:46" ht="20.100000000000001" customHeight="1" x14ac:dyDescent="0.2">
      <c r="A2" t="s">
        <v>30</v>
      </c>
      <c r="B2" t="s">
        <v>32</v>
      </c>
      <c r="C2" t="s">
        <v>33</v>
      </c>
      <c r="D2" t="s">
        <v>34</v>
      </c>
      <c r="E2" t="s">
        <v>35</v>
      </c>
      <c r="F2" t="s">
        <v>36</v>
      </c>
      <c r="G2" t="s">
        <v>37</v>
      </c>
      <c r="H2" t="s">
        <v>38</v>
      </c>
      <c r="I2" t="s">
        <v>39</v>
      </c>
      <c r="J2" t="s">
        <v>40</v>
      </c>
      <c r="K2" t="s">
        <v>3625</v>
      </c>
      <c r="L2" t="s">
        <v>41</v>
      </c>
      <c r="M2" t="s">
        <v>42</v>
      </c>
      <c r="N2" t="s">
        <v>42</v>
      </c>
      <c r="O2" t="s">
        <v>43</v>
      </c>
      <c r="P2">
        <v>0</v>
      </c>
      <c r="Q2" t="s">
        <v>44</v>
      </c>
      <c r="R2">
        <v>2027</v>
      </c>
      <c r="S2">
        <v>191</v>
      </c>
      <c r="T2" t="s">
        <v>31</v>
      </c>
      <c r="U2" t="s">
        <v>31</v>
      </c>
      <c r="V2" t="s">
        <v>31</v>
      </c>
      <c r="W2">
        <v>112477</v>
      </c>
      <c r="X2" t="s">
        <v>45</v>
      </c>
      <c r="Y2" t="str">
        <f>HYPERLINK("http://dx.doi.org/10.1016/j.foodcont.2026.112477","http://dx.doi.org/10.1016/j.foodcont.2026.112477")</f>
        <v>http://dx.doi.org/10.1016/j.foodcont.2026.112477</v>
      </c>
      <c r="Z2" t="s">
        <v>31</v>
      </c>
      <c r="AA2" t="s">
        <v>46</v>
      </c>
      <c r="AB2" t="s">
        <v>46</v>
      </c>
      <c r="AC2" t="s">
        <v>47</v>
      </c>
      <c r="AD2" t="s">
        <v>48</v>
      </c>
      <c r="AE2" t="str">
        <f>HYPERLINK("https%3A%2F%2Fwww.webofscience.com%2Fwos%2Fwoscc%2Ffull-record%2FWOS:001830241900001","View Full Record in Web of Science")</f>
        <v>View Full Record in Web of Science</v>
      </c>
      <c r="AF2" t="s">
        <v>3625</v>
      </c>
      <c r="AG2" t="s">
        <v>3637</v>
      </c>
      <c r="AI2" t="s">
        <v>3632</v>
      </c>
      <c r="AJ2">
        <v>0</v>
      </c>
      <c r="AK2" t="s">
        <v>3638</v>
      </c>
      <c r="AL2" t="s">
        <v>3639</v>
      </c>
      <c r="AN2" s="4" t="s">
        <v>3639</v>
      </c>
      <c r="AP2" t="s">
        <v>3635</v>
      </c>
      <c r="AQ2" t="s">
        <v>3640</v>
      </c>
      <c r="AR2">
        <v>160</v>
      </c>
      <c r="AS2" t="s">
        <v>3633</v>
      </c>
      <c r="AT2" t="s">
        <v>3642</v>
      </c>
    </row>
    <row r="3" spans="1:46" ht="20.100000000000001" customHeight="1" x14ac:dyDescent="0.2">
      <c r="A3" t="s">
        <v>49</v>
      </c>
      <c r="B3" t="s">
        <v>50</v>
      </c>
      <c r="C3" t="s">
        <v>51</v>
      </c>
      <c r="D3" t="s">
        <v>34</v>
      </c>
      <c r="E3" t="s">
        <v>52</v>
      </c>
      <c r="F3" t="s">
        <v>53</v>
      </c>
      <c r="G3" t="s">
        <v>54</v>
      </c>
      <c r="H3" t="s">
        <v>55</v>
      </c>
      <c r="I3" t="s">
        <v>56</v>
      </c>
      <c r="J3" t="s">
        <v>57</v>
      </c>
      <c r="K3" t="s">
        <v>3665</v>
      </c>
      <c r="L3" t="s">
        <v>58</v>
      </c>
      <c r="M3" t="s">
        <v>59</v>
      </c>
      <c r="N3" t="s">
        <v>60</v>
      </c>
      <c r="O3" t="s">
        <v>61</v>
      </c>
      <c r="P3">
        <v>0</v>
      </c>
      <c r="Q3" t="s">
        <v>62</v>
      </c>
      <c r="R3">
        <v>2026</v>
      </c>
      <c r="S3">
        <v>189</v>
      </c>
      <c r="T3" t="s">
        <v>31</v>
      </c>
      <c r="U3" t="s">
        <v>31</v>
      </c>
      <c r="V3" t="s">
        <v>31</v>
      </c>
      <c r="W3">
        <v>112322</v>
      </c>
      <c r="X3" t="s">
        <v>63</v>
      </c>
      <c r="Y3" t="str">
        <f>HYPERLINK("http://dx.doi.org/10.1016/j.foodcont.2026.112322","http://dx.doi.org/10.1016/j.foodcont.2026.112322")</f>
        <v>http://dx.doi.org/10.1016/j.foodcont.2026.112322</v>
      </c>
      <c r="Z3" t="s">
        <v>31</v>
      </c>
      <c r="AA3" t="s">
        <v>46</v>
      </c>
      <c r="AB3" t="s">
        <v>46</v>
      </c>
      <c r="AC3" t="s">
        <v>47</v>
      </c>
      <c r="AD3" t="s">
        <v>64</v>
      </c>
      <c r="AE3" t="str">
        <f>HYPERLINK("https%3A%2F%2Fwww.webofscience.com%2Fwos%2Fwoscc%2Ffull-record%2FWOS:001792194400001","View Full Record in Web of Science")</f>
        <v>View Full Record in Web of Science</v>
      </c>
      <c r="AG3" s="4" t="s">
        <v>3656</v>
      </c>
      <c r="AH3" s="4" t="s">
        <v>3637</v>
      </c>
      <c r="AI3" t="s">
        <v>3632</v>
      </c>
      <c r="AJ3">
        <v>0</v>
      </c>
      <c r="AK3" t="s">
        <v>3638</v>
      </c>
      <c r="AL3" t="s">
        <v>3639</v>
      </c>
      <c r="AN3" s="4" t="s">
        <v>3639</v>
      </c>
      <c r="AP3" t="s">
        <v>3635</v>
      </c>
      <c r="AQ3" t="s">
        <v>3645</v>
      </c>
      <c r="AR3" t="s">
        <v>3644</v>
      </c>
      <c r="AS3" t="s">
        <v>3633</v>
      </c>
      <c r="AT3" t="s">
        <v>3646</v>
      </c>
    </row>
    <row r="4" spans="1:46" ht="20.100000000000001" customHeight="1" x14ac:dyDescent="0.2">
      <c r="A4" t="s">
        <v>65</v>
      </c>
      <c r="B4" t="s">
        <v>66</v>
      </c>
      <c r="C4" t="s">
        <v>67</v>
      </c>
      <c r="D4" t="s">
        <v>68</v>
      </c>
      <c r="E4" t="s">
        <v>69</v>
      </c>
      <c r="F4" t="s">
        <v>70</v>
      </c>
      <c r="G4" t="s">
        <v>71</v>
      </c>
      <c r="H4" t="s">
        <v>72</v>
      </c>
      <c r="I4" t="s">
        <v>73</v>
      </c>
      <c r="J4" t="s">
        <v>74</v>
      </c>
      <c r="K4" t="s">
        <v>3666</v>
      </c>
      <c r="L4" t="s">
        <v>75</v>
      </c>
      <c r="M4" t="s">
        <v>76</v>
      </c>
      <c r="N4" t="s">
        <v>77</v>
      </c>
      <c r="O4" t="s">
        <v>78</v>
      </c>
      <c r="P4">
        <v>0</v>
      </c>
      <c r="Q4" t="s">
        <v>79</v>
      </c>
      <c r="R4">
        <v>2026</v>
      </c>
      <c r="S4">
        <v>118</v>
      </c>
      <c r="T4" t="s">
        <v>31</v>
      </c>
      <c r="U4" t="s">
        <v>31</v>
      </c>
      <c r="V4" t="s">
        <v>31</v>
      </c>
      <c r="W4">
        <v>102631</v>
      </c>
      <c r="X4" t="s">
        <v>80</v>
      </c>
      <c r="Y4" t="str">
        <f>HYPERLINK("http://dx.doi.org/10.1016/j.npep.2026.102631","http://dx.doi.org/10.1016/j.npep.2026.102631")</f>
        <v>http://dx.doi.org/10.1016/j.npep.2026.102631</v>
      </c>
      <c r="Z4" t="s">
        <v>31</v>
      </c>
      <c r="AA4" t="s">
        <v>81</v>
      </c>
      <c r="AB4" t="s">
        <v>82</v>
      </c>
      <c r="AC4" t="s">
        <v>47</v>
      </c>
      <c r="AD4" t="s">
        <v>83</v>
      </c>
      <c r="AE4" t="str">
        <f>HYPERLINK("https%3A%2F%2Fwww.webofscience.com%2Fwos%2Fwoscc%2Ffull-record%2FWOS:001788546000001","View Full Record in Web of Science")</f>
        <v>View Full Record in Web of Science</v>
      </c>
      <c r="AG4" t="s">
        <v>3647</v>
      </c>
      <c r="AH4" t="s">
        <v>3657</v>
      </c>
      <c r="AI4" t="s">
        <v>3648</v>
      </c>
      <c r="AJ4">
        <v>1</v>
      </c>
      <c r="AK4" t="s">
        <v>3649</v>
      </c>
      <c r="AL4" t="s">
        <v>3650</v>
      </c>
      <c r="AM4" t="s">
        <v>3738</v>
      </c>
      <c r="AN4" s="9" t="s">
        <v>3650</v>
      </c>
      <c r="AO4" s="2" t="s">
        <v>3739</v>
      </c>
      <c r="AP4" t="s">
        <v>3651</v>
      </c>
      <c r="AQ4" t="s">
        <v>3652</v>
      </c>
      <c r="AR4">
        <v>3</v>
      </c>
      <c r="AS4" t="s">
        <v>3653</v>
      </c>
      <c r="AT4" t="s">
        <v>3654</v>
      </c>
    </row>
    <row r="5" spans="1:46" ht="20.100000000000001" customHeight="1" x14ac:dyDescent="0.2">
      <c r="A5" t="s">
        <v>85</v>
      </c>
      <c r="B5" t="s">
        <v>86</v>
      </c>
      <c r="C5" t="s">
        <v>87</v>
      </c>
      <c r="D5" t="s">
        <v>88</v>
      </c>
      <c r="E5" t="s">
        <v>31</v>
      </c>
      <c r="F5" t="s">
        <v>89</v>
      </c>
      <c r="G5" t="s">
        <v>90</v>
      </c>
      <c r="H5" t="s">
        <v>91</v>
      </c>
      <c r="I5" t="s">
        <v>92</v>
      </c>
      <c r="J5" t="s">
        <v>93</v>
      </c>
      <c r="K5" t="s">
        <v>3663</v>
      </c>
      <c r="L5" t="s">
        <v>94</v>
      </c>
      <c r="M5" t="s">
        <v>95</v>
      </c>
      <c r="N5" t="s">
        <v>96</v>
      </c>
      <c r="O5" t="s">
        <v>97</v>
      </c>
      <c r="P5">
        <v>0</v>
      </c>
      <c r="Q5" t="s">
        <v>98</v>
      </c>
      <c r="R5">
        <v>2026</v>
      </c>
      <c r="S5">
        <v>21</v>
      </c>
      <c r="T5">
        <v>7</v>
      </c>
      <c r="U5" t="s">
        <v>31</v>
      </c>
      <c r="V5" t="s">
        <v>31</v>
      </c>
      <c r="W5" t="s">
        <v>99</v>
      </c>
      <c r="X5" t="s">
        <v>100</v>
      </c>
      <c r="Y5" t="str">
        <f>HYPERLINK("http://dx.doi.org/10.1371/journal.pone.0352331","http://dx.doi.org/10.1371/journal.pone.0352331")</f>
        <v>http://dx.doi.org/10.1371/journal.pone.0352331</v>
      </c>
      <c r="Z5" t="s">
        <v>84</v>
      </c>
      <c r="AA5" t="s">
        <v>101</v>
      </c>
      <c r="AB5" t="s">
        <v>102</v>
      </c>
      <c r="AC5" t="s">
        <v>47</v>
      </c>
      <c r="AD5" t="s">
        <v>103</v>
      </c>
      <c r="AE5" t="str">
        <f>HYPERLINK("https%3A%2F%2Fwww.webofscience.com%2Fwos%2Fwoscc%2Ffull-record%2FWOS:001813216600024","View Full Record in Web of Science")</f>
        <v>View Full Record in Web of Science</v>
      </c>
      <c r="AG5" t="s">
        <v>3658</v>
      </c>
      <c r="AH5" t="s">
        <v>3637</v>
      </c>
      <c r="AI5" t="s">
        <v>3700</v>
      </c>
      <c r="AJ5">
        <v>0</v>
      </c>
      <c r="AK5" t="s">
        <v>3659</v>
      </c>
      <c r="AL5" s="4" t="s">
        <v>3639</v>
      </c>
      <c r="AM5" s="4"/>
      <c r="AN5" s="4" t="s">
        <v>3650</v>
      </c>
      <c r="AO5" t="s">
        <v>3660</v>
      </c>
      <c r="AP5" t="s">
        <v>3651</v>
      </c>
      <c r="AQ5" t="s">
        <v>3661</v>
      </c>
      <c r="AR5">
        <v>373</v>
      </c>
      <c r="AS5" t="s">
        <v>3653</v>
      </c>
      <c r="AT5" t="s">
        <v>3662</v>
      </c>
    </row>
    <row r="6" spans="1:46" ht="20.100000000000001" customHeight="1" x14ac:dyDescent="0.2">
      <c r="A6" t="s">
        <v>104</v>
      </c>
      <c r="B6" t="s">
        <v>105</v>
      </c>
      <c r="C6" t="s">
        <v>106</v>
      </c>
      <c r="D6" t="s">
        <v>107</v>
      </c>
      <c r="E6" t="s">
        <v>108</v>
      </c>
      <c r="F6" t="s">
        <v>109</v>
      </c>
      <c r="G6" s="4" t="s">
        <v>110</v>
      </c>
      <c r="H6" t="s">
        <v>111</v>
      </c>
      <c r="I6" t="s">
        <v>112</v>
      </c>
      <c r="J6" t="s">
        <v>113</v>
      </c>
      <c r="K6" s="4" t="s">
        <v>3676</v>
      </c>
      <c r="L6" t="s">
        <v>114</v>
      </c>
      <c r="M6" t="s">
        <v>115</v>
      </c>
      <c r="N6" t="s">
        <v>115</v>
      </c>
      <c r="O6" t="s">
        <v>116</v>
      </c>
      <c r="P6">
        <v>1</v>
      </c>
      <c r="Q6" t="s">
        <v>117</v>
      </c>
      <c r="R6">
        <v>2026</v>
      </c>
      <c r="S6">
        <v>173</v>
      </c>
      <c r="T6">
        <v>9</v>
      </c>
      <c r="U6" t="s">
        <v>31</v>
      </c>
      <c r="V6" t="s">
        <v>31</v>
      </c>
      <c r="W6">
        <v>141</v>
      </c>
      <c r="X6" t="s">
        <v>118</v>
      </c>
      <c r="Y6" t="str">
        <f>HYPERLINK("http://dx.doi.org/10.1007/s00227-026-04892-9","http://dx.doi.org/10.1007/s00227-026-04892-9")</f>
        <v>http://dx.doi.org/10.1007/s00227-026-04892-9</v>
      </c>
      <c r="Z6" t="s">
        <v>84</v>
      </c>
      <c r="AA6" t="s">
        <v>119</v>
      </c>
      <c r="AB6" t="s">
        <v>119</v>
      </c>
      <c r="AC6" t="s">
        <v>47</v>
      </c>
      <c r="AD6" t="s">
        <v>120</v>
      </c>
      <c r="AE6" t="str">
        <f>HYPERLINK("https%3A%2F%2Fwww.webofscience.com%2Fwos%2Fwoscc%2Ffull-record%2FWOS:001811798000001","View Full Record in Web of Science")</f>
        <v>View Full Record in Web of Science</v>
      </c>
      <c r="AG6" s="4" t="s">
        <v>3667</v>
      </c>
      <c r="AI6" s="4" t="s">
        <v>3668</v>
      </c>
      <c r="AJ6">
        <v>0</v>
      </c>
      <c r="AK6" s="4" t="s">
        <v>3669</v>
      </c>
      <c r="AL6" s="4" t="s">
        <v>3639</v>
      </c>
      <c r="AM6" s="4"/>
      <c r="AN6" s="4" t="s">
        <v>3639</v>
      </c>
      <c r="AO6" s="4" t="s">
        <v>3973</v>
      </c>
      <c r="AP6" s="4" t="s">
        <v>3670</v>
      </c>
      <c r="AQ6" s="4" t="s">
        <v>3671</v>
      </c>
      <c r="AR6" s="4" t="s">
        <v>3672</v>
      </c>
      <c r="AS6">
        <v>0</v>
      </c>
      <c r="AT6" s="5" t="s">
        <v>3673</v>
      </c>
    </row>
    <row r="7" spans="1:46" ht="20.100000000000001" customHeight="1" x14ac:dyDescent="0.2">
      <c r="A7" t="s">
        <v>121</v>
      </c>
      <c r="B7" t="s">
        <v>122</v>
      </c>
      <c r="C7" t="s">
        <v>123</v>
      </c>
      <c r="D7" t="s">
        <v>124</v>
      </c>
      <c r="E7" t="s">
        <v>125</v>
      </c>
      <c r="F7" t="s">
        <v>126</v>
      </c>
      <c r="G7" s="4" t="s">
        <v>127</v>
      </c>
      <c r="H7" t="s">
        <v>128</v>
      </c>
      <c r="I7" t="s">
        <v>129</v>
      </c>
      <c r="J7" t="s">
        <v>130</v>
      </c>
      <c r="K7" s="4" t="s">
        <v>3663</v>
      </c>
      <c r="L7" t="s">
        <v>131</v>
      </c>
      <c r="M7" t="s">
        <v>132</v>
      </c>
      <c r="N7" t="s">
        <v>133</v>
      </c>
      <c r="O7" t="s">
        <v>134</v>
      </c>
      <c r="P7">
        <v>0</v>
      </c>
      <c r="Q7" t="s">
        <v>135</v>
      </c>
      <c r="R7">
        <v>2026</v>
      </c>
      <c r="S7">
        <v>15</v>
      </c>
      <c r="T7">
        <v>12</v>
      </c>
      <c r="U7" t="s">
        <v>31</v>
      </c>
      <c r="V7" t="s">
        <v>31</v>
      </c>
      <c r="W7">
        <v>2098</v>
      </c>
      <c r="X7" t="s">
        <v>136</v>
      </c>
      <c r="Y7" t="str">
        <f>HYPERLINK("http://dx.doi.org/10.3390/foods15122098","http://dx.doi.org/10.3390/foods15122098")</f>
        <v>http://dx.doi.org/10.3390/foods15122098</v>
      </c>
      <c r="Z7" t="s">
        <v>137</v>
      </c>
      <c r="AA7" t="s">
        <v>46</v>
      </c>
      <c r="AB7" t="s">
        <v>46</v>
      </c>
      <c r="AC7" t="s">
        <v>47</v>
      </c>
      <c r="AD7" t="s">
        <v>138</v>
      </c>
      <c r="AE7" t="str">
        <f>HYPERLINK("https%3A%2F%2Fwww.webofscience.com%2Fwos%2Fwoscc%2Ffull-record%2FWOS:001803539200001","View Full Record in Web of Science")</f>
        <v>View Full Record in Web of Science</v>
      </c>
      <c r="AG7" s="4" t="s">
        <v>3637</v>
      </c>
      <c r="AH7" s="4" t="s">
        <v>3657</v>
      </c>
      <c r="AI7" s="4" t="s">
        <v>3632</v>
      </c>
      <c r="AJ7">
        <v>0</v>
      </c>
      <c r="AK7" s="4" t="s">
        <v>3638</v>
      </c>
      <c r="AL7" s="4" t="s">
        <v>3639</v>
      </c>
      <c r="AM7" s="4"/>
      <c r="AN7" s="4" t="s">
        <v>3639</v>
      </c>
      <c r="AO7" s="4" t="s">
        <v>3740</v>
      </c>
      <c r="AP7" s="4" t="s">
        <v>3635</v>
      </c>
      <c r="AQ7" s="4" t="s">
        <v>3674</v>
      </c>
      <c r="AR7" s="4" t="s">
        <v>3672</v>
      </c>
      <c r="AS7" s="4" t="s">
        <v>3633</v>
      </c>
      <c r="AT7" s="4" t="s">
        <v>3675</v>
      </c>
    </row>
    <row r="8" spans="1:46" ht="20.100000000000001" customHeight="1" x14ac:dyDescent="0.2">
      <c r="A8" t="s">
        <v>139</v>
      </c>
      <c r="B8" t="s">
        <v>140</v>
      </c>
      <c r="C8" t="s">
        <v>141</v>
      </c>
      <c r="D8" t="s">
        <v>88</v>
      </c>
      <c r="E8" t="s">
        <v>31</v>
      </c>
      <c r="F8" t="s">
        <v>142</v>
      </c>
      <c r="G8" s="4" t="s">
        <v>143</v>
      </c>
      <c r="H8" t="s">
        <v>144</v>
      </c>
      <c r="I8" t="s">
        <v>145</v>
      </c>
      <c r="J8" t="s">
        <v>146</v>
      </c>
      <c r="K8" s="4" t="s">
        <v>3664</v>
      </c>
      <c r="L8" t="s">
        <v>147</v>
      </c>
      <c r="M8" t="s">
        <v>148</v>
      </c>
      <c r="N8" t="s">
        <v>149</v>
      </c>
      <c r="O8" t="s">
        <v>150</v>
      </c>
      <c r="P8">
        <v>0</v>
      </c>
      <c r="Q8" t="s">
        <v>151</v>
      </c>
      <c r="R8">
        <v>2026</v>
      </c>
      <c r="S8">
        <v>21</v>
      </c>
      <c r="T8">
        <v>6</v>
      </c>
      <c r="U8" t="s">
        <v>31</v>
      </c>
      <c r="V8" t="s">
        <v>31</v>
      </c>
      <c r="W8" t="s">
        <v>152</v>
      </c>
      <c r="X8" t="s">
        <v>153</v>
      </c>
      <c r="Y8" t="str">
        <f>HYPERLINK("http://dx.doi.org/10.1371/journal.pone.0348392","http://dx.doi.org/10.1371/journal.pone.0348392")</f>
        <v>http://dx.doi.org/10.1371/journal.pone.0348392</v>
      </c>
      <c r="Z8" t="s">
        <v>137</v>
      </c>
      <c r="AA8" t="s">
        <v>101</v>
      </c>
      <c r="AB8" t="s">
        <v>102</v>
      </c>
      <c r="AC8" t="s">
        <v>47</v>
      </c>
      <c r="AD8" t="s">
        <v>154</v>
      </c>
      <c r="AE8" t="str">
        <f>HYPERLINK("https%3A%2F%2Fwww.webofscience.com%2Fwos%2Fwoscc%2Ffull-record%2FWOS:001783150300020","View Full Record in Web of Science")</f>
        <v>View Full Record in Web of Science</v>
      </c>
      <c r="AG8" s="4" t="s">
        <v>3637</v>
      </c>
      <c r="AI8" s="4" t="s">
        <v>3632</v>
      </c>
      <c r="AJ8">
        <v>0</v>
      </c>
      <c r="AK8" s="4" t="s">
        <v>3638</v>
      </c>
      <c r="AL8" s="4" t="s">
        <v>3639</v>
      </c>
      <c r="AM8" s="4"/>
      <c r="AN8" s="4" t="s">
        <v>3639</v>
      </c>
      <c r="AO8" s="4"/>
      <c r="AP8" s="4" t="s">
        <v>3670</v>
      </c>
      <c r="AQ8" s="4" t="s">
        <v>3677</v>
      </c>
      <c r="AR8" s="4" t="s">
        <v>3672</v>
      </c>
      <c r="AS8">
        <v>0</v>
      </c>
      <c r="AT8" s="4" t="s">
        <v>3678</v>
      </c>
    </row>
    <row r="9" spans="1:46" ht="20.100000000000001" customHeight="1" x14ac:dyDescent="0.2">
      <c r="A9" t="s">
        <v>155</v>
      </c>
      <c r="B9" t="s">
        <v>156</v>
      </c>
      <c r="C9" t="s">
        <v>157</v>
      </c>
      <c r="D9" t="s">
        <v>158</v>
      </c>
      <c r="E9" t="s">
        <v>159</v>
      </c>
      <c r="F9" t="s">
        <v>160</v>
      </c>
      <c r="G9" t="s">
        <v>161</v>
      </c>
      <c r="H9" t="s">
        <v>162</v>
      </c>
      <c r="I9" t="s">
        <v>163</v>
      </c>
      <c r="J9" t="s">
        <v>164</v>
      </c>
      <c r="K9" s="4" t="s">
        <v>3689</v>
      </c>
      <c r="L9" t="s">
        <v>165</v>
      </c>
      <c r="M9" t="s">
        <v>166</v>
      </c>
      <c r="N9" t="s">
        <v>167</v>
      </c>
      <c r="O9" t="s">
        <v>168</v>
      </c>
      <c r="P9">
        <v>0</v>
      </c>
      <c r="Q9" t="s">
        <v>169</v>
      </c>
      <c r="R9">
        <v>2026</v>
      </c>
      <c r="S9">
        <v>18</v>
      </c>
      <c r="T9">
        <v>6</v>
      </c>
      <c r="U9" t="s">
        <v>31</v>
      </c>
      <c r="V9" t="s">
        <v>31</v>
      </c>
      <c r="W9" t="s">
        <v>170</v>
      </c>
      <c r="X9" t="s">
        <v>171</v>
      </c>
      <c r="Y9" t="str">
        <f>HYPERLINK("http://dx.doi.org/10.1093/gbe/evag137","http://dx.doi.org/10.1093/gbe/evag137")</f>
        <v>http://dx.doi.org/10.1093/gbe/evag137</v>
      </c>
      <c r="Z9" t="s">
        <v>31</v>
      </c>
      <c r="AA9" t="s">
        <v>172</v>
      </c>
      <c r="AB9" t="s">
        <v>172</v>
      </c>
      <c r="AC9" t="s">
        <v>47</v>
      </c>
      <c r="AD9" t="s">
        <v>173</v>
      </c>
      <c r="AE9" t="str">
        <f>HYPERLINK("https%3A%2F%2Fwww.webofscience.com%2Fwos%2Fwoscc%2Ffull-record%2FWOS:001797439500001","View Full Record in Web of Science")</f>
        <v>View Full Record in Web of Science</v>
      </c>
      <c r="AG9" s="4" t="s">
        <v>3657</v>
      </c>
      <c r="AH9" s="4" t="s">
        <v>3679</v>
      </c>
      <c r="AI9" s="4" t="s">
        <v>3632</v>
      </c>
      <c r="AJ9">
        <v>0</v>
      </c>
      <c r="AK9" s="4" t="s">
        <v>3680</v>
      </c>
      <c r="AL9" s="4" t="s">
        <v>3639</v>
      </c>
      <c r="AM9" s="4"/>
      <c r="AN9" s="4" t="s">
        <v>3639</v>
      </c>
      <c r="AO9" s="4"/>
      <c r="AP9" s="4" t="s">
        <v>3670</v>
      </c>
      <c r="AQ9" t="s">
        <v>3681</v>
      </c>
      <c r="AR9" s="4" t="s">
        <v>3672</v>
      </c>
      <c r="AS9">
        <v>0</v>
      </c>
      <c r="AT9" s="4" t="s">
        <v>3682</v>
      </c>
    </row>
    <row r="10" spans="1:46" ht="20.100000000000001" customHeight="1" x14ac:dyDescent="0.2">
      <c r="A10" t="s">
        <v>174</v>
      </c>
      <c r="B10" t="s">
        <v>175</v>
      </c>
      <c r="C10" t="s">
        <v>176</v>
      </c>
      <c r="D10" t="s">
        <v>177</v>
      </c>
      <c r="E10" t="s">
        <v>178</v>
      </c>
      <c r="F10" t="s">
        <v>31</v>
      </c>
      <c r="G10" t="s">
        <v>3683</v>
      </c>
      <c r="H10" t="s">
        <v>179</v>
      </c>
      <c r="I10" t="s">
        <v>31</v>
      </c>
      <c r="J10" t="s">
        <v>180</v>
      </c>
      <c r="K10" s="4" t="s">
        <v>3690</v>
      </c>
      <c r="L10" t="s">
        <v>181</v>
      </c>
      <c r="M10" t="s">
        <v>31</v>
      </c>
      <c r="N10" t="s">
        <v>31</v>
      </c>
      <c r="O10" t="s">
        <v>31</v>
      </c>
      <c r="P10">
        <v>0</v>
      </c>
      <c r="Q10" t="s">
        <v>169</v>
      </c>
      <c r="R10">
        <v>2026</v>
      </c>
      <c r="S10">
        <v>60</v>
      </c>
      <c r="T10">
        <v>3</v>
      </c>
      <c r="U10">
        <v>294</v>
      </c>
      <c r="V10">
        <v>304</v>
      </c>
      <c r="W10" t="s">
        <v>31</v>
      </c>
      <c r="X10" t="s">
        <v>182</v>
      </c>
      <c r="Y10" t="str">
        <f>HYPERLINK("http://dx.doi.org/10.1177/00236772261441121","http://dx.doi.org/10.1177/00236772261441121")</f>
        <v>http://dx.doi.org/10.1177/00236772261441121</v>
      </c>
      <c r="Z10" t="s">
        <v>183</v>
      </c>
      <c r="AA10" t="s">
        <v>184</v>
      </c>
      <c r="AB10" t="s">
        <v>184</v>
      </c>
      <c r="AC10" t="s">
        <v>47</v>
      </c>
      <c r="AD10" t="s">
        <v>185</v>
      </c>
      <c r="AE10" t="str">
        <f>HYPERLINK("https%3A%2F%2Fwww.webofscience.com%2Fwos%2Fwoscc%2Ffull-record%2FWOS:001776366400001","View Full Record in Web of Science")</f>
        <v>View Full Record in Web of Science</v>
      </c>
      <c r="AG10" s="4" t="s">
        <v>3684</v>
      </c>
      <c r="AI10" s="4" t="s">
        <v>3685</v>
      </c>
      <c r="AJ10">
        <v>3</v>
      </c>
      <c r="AK10" s="6" t="s">
        <v>3686</v>
      </c>
      <c r="AL10" s="4" t="s">
        <v>3650</v>
      </c>
      <c r="AM10" s="4" t="s">
        <v>3741</v>
      </c>
      <c r="AN10" s="4" t="s">
        <v>3650</v>
      </c>
      <c r="AO10" s="4" t="s">
        <v>3742</v>
      </c>
      <c r="AP10" s="4" t="s">
        <v>3670</v>
      </c>
      <c r="AQ10" s="4" t="s">
        <v>3687</v>
      </c>
      <c r="AR10">
        <v>0</v>
      </c>
      <c r="AS10">
        <v>0</v>
      </c>
      <c r="AT10" s="4" t="s">
        <v>3688</v>
      </c>
    </row>
    <row r="11" spans="1:46" ht="20.100000000000001" customHeight="1" x14ac:dyDescent="0.2">
      <c r="A11" t="s">
        <v>186</v>
      </c>
      <c r="B11" t="s">
        <v>187</v>
      </c>
      <c r="C11" t="s">
        <v>188</v>
      </c>
      <c r="D11" t="s">
        <v>189</v>
      </c>
      <c r="E11" t="s">
        <v>190</v>
      </c>
      <c r="F11" t="s">
        <v>191</v>
      </c>
      <c r="G11" t="s">
        <v>192</v>
      </c>
      <c r="H11" t="s">
        <v>193</v>
      </c>
      <c r="I11" t="s">
        <v>194</v>
      </c>
      <c r="J11" t="s">
        <v>195</v>
      </c>
      <c r="K11" s="4" t="s">
        <v>3691</v>
      </c>
      <c r="L11" t="s">
        <v>196</v>
      </c>
      <c r="M11" t="s">
        <v>197</v>
      </c>
      <c r="N11" t="s">
        <v>198</v>
      </c>
      <c r="O11" t="s">
        <v>199</v>
      </c>
      <c r="P11">
        <v>0</v>
      </c>
      <c r="Q11" t="s">
        <v>200</v>
      </c>
      <c r="R11">
        <v>2026</v>
      </c>
      <c r="S11">
        <v>14</v>
      </c>
      <c r="T11">
        <v>5</v>
      </c>
      <c r="U11" t="s">
        <v>31</v>
      </c>
      <c r="V11" t="s">
        <v>31</v>
      </c>
      <c r="W11">
        <v>1165</v>
      </c>
      <c r="X11" t="s">
        <v>201</v>
      </c>
      <c r="Y11" t="str">
        <f>HYPERLINK("http://dx.doi.org/10.3390/microorganisms14051165","http://dx.doi.org/10.3390/microorganisms14051165")</f>
        <v>http://dx.doi.org/10.3390/microorganisms14051165</v>
      </c>
      <c r="Z11" t="s">
        <v>31</v>
      </c>
      <c r="AA11" t="s">
        <v>202</v>
      </c>
      <c r="AB11" t="s">
        <v>202</v>
      </c>
      <c r="AC11" t="s">
        <v>47</v>
      </c>
      <c r="AD11" t="s">
        <v>203</v>
      </c>
      <c r="AE11" t="str">
        <f>HYPERLINK("https%3A%2F%2Fwww.webofscience.com%2Fwos%2Fwoscc%2Ffull-record%2FWOS:001775028800001","View Full Record in Web of Science")</f>
        <v>View Full Record in Web of Science</v>
      </c>
      <c r="AG11" s="4" t="s">
        <v>3694</v>
      </c>
      <c r="AH11" s="4" t="s">
        <v>3684</v>
      </c>
      <c r="AI11" s="4" t="s">
        <v>3685</v>
      </c>
      <c r="AJ11">
        <v>1</v>
      </c>
      <c r="AK11" s="4" t="s">
        <v>3695</v>
      </c>
      <c r="AL11" s="4" t="s">
        <v>3650</v>
      </c>
      <c r="AM11" s="4" t="s">
        <v>3752</v>
      </c>
      <c r="AN11" s="4" t="s">
        <v>3650</v>
      </c>
      <c r="AO11" s="4" t="s">
        <v>3743</v>
      </c>
      <c r="AP11" s="4" t="s">
        <v>3696</v>
      </c>
      <c r="AQ11" s="4" t="s">
        <v>3697</v>
      </c>
      <c r="AR11" t="s">
        <v>3698</v>
      </c>
      <c r="AS11" t="s">
        <v>3653</v>
      </c>
      <c r="AT11" s="4" t="s">
        <v>3699</v>
      </c>
    </row>
    <row r="12" spans="1:46" ht="20.100000000000001" customHeight="1" x14ac:dyDescent="0.2">
      <c r="A12" t="s">
        <v>204</v>
      </c>
      <c r="B12" t="s">
        <v>205</v>
      </c>
      <c r="C12" t="s">
        <v>206</v>
      </c>
      <c r="D12" t="s">
        <v>207</v>
      </c>
      <c r="E12" t="s">
        <v>208</v>
      </c>
      <c r="F12" t="s">
        <v>209</v>
      </c>
      <c r="G12" t="s">
        <v>210</v>
      </c>
      <c r="H12" t="s">
        <v>211</v>
      </c>
      <c r="I12" t="s">
        <v>31</v>
      </c>
      <c r="J12" t="s">
        <v>212</v>
      </c>
      <c r="K12" t="s">
        <v>3704</v>
      </c>
      <c r="L12" t="s">
        <v>213</v>
      </c>
      <c r="M12" t="s">
        <v>214</v>
      </c>
      <c r="N12" t="s">
        <v>214</v>
      </c>
      <c r="O12" t="s">
        <v>215</v>
      </c>
      <c r="P12">
        <v>0</v>
      </c>
      <c r="Q12" t="s">
        <v>216</v>
      </c>
      <c r="R12">
        <v>2026</v>
      </c>
      <c r="S12">
        <v>297</v>
      </c>
      <c r="T12" t="s">
        <v>31</v>
      </c>
      <c r="U12" t="s">
        <v>31</v>
      </c>
      <c r="V12" t="s">
        <v>31</v>
      </c>
      <c r="W12">
        <v>107727</v>
      </c>
      <c r="X12" t="s">
        <v>217</v>
      </c>
      <c r="Y12" t="str">
        <f>HYPERLINK("http://dx.doi.org/10.1016/j.fishres.2026.107727","http://dx.doi.org/10.1016/j.fishres.2026.107727")</f>
        <v>http://dx.doi.org/10.1016/j.fishres.2026.107727</v>
      </c>
      <c r="Z12" t="s">
        <v>31</v>
      </c>
      <c r="AA12" t="s">
        <v>218</v>
      </c>
      <c r="AB12" t="s">
        <v>218</v>
      </c>
      <c r="AC12" t="s">
        <v>47</v>
      </c>
      <c r="AD12" t="s">
        <v>219</v>
      </c>
      <c r="AE12" t="str">
        <f>HYPERLINK("https%3A%2F%2Fwww.webofscience.com%2Fwos%2Fwoscc%2Ffull-record%2FWOS:001737740500001","View Full Record in Web of Science")</f>
        <v>View Full Record in Web of Science</v>
      </c>
      <c r="AG12" s="4" t="s">
        <v>3658</v>
      </c>
      <c r="AH12" s="4" t="s">
        <v>3637</v>
      </c>
      <c r="AI12" s="4" t="s">
        <v>3632</v>
      </c>
      <c r="AJ12">
        <v>0</v>
      </c>
      <c r="AK12" t="s">
        <v>3701</v>
      </c>
      <c r="AL12" s="4" t="s">
        <v>3639</v>
      </c>
      <c r="AM12" s="4"/>
      <c r="AN12" s="4" t="s">
        <v>3639</v>
      </c>
      <c r="AO12" s="4"/>
      <c r="AP12" s="4" t="s">
        <v>3635</v>
      </c>
      <c r="AQ12" s="4" t="s">
        <v>3702</v>
      </c>
      <c r="AR12">
        <v>504</v>
      </c>
      <c r="AS12" t="s">
        <v>3633</v>
      </c>
      <c r="AT12" s="4" t="s">
        <v>3703</v>
      </c>
    </row>
    <row r="13" spans="1:46" ht="20.100000000000001" customHeight="1" x14ac:dyDescent="0.2">
      <c r="A13" t="s">
        <v>220</v>
      </c>
      <c r="B13" t="s">
        <v>221</v>
      </c>
      <c r="C13" t="s">
        <v>222</v>
      </c>
      <c r="D13" t="s">
        <v>223</v>
      </c>
      <c r="E13" t="s">
        <v>31</v>
      </c>
      <c r="F13" t="s">
        <v>224</v>
      </c>
      <c r="G13" t="s">
        <v>225</v>
      </c>
      <c r="H13" t="s">
        <v>226</v>
      </c>
      <c r="I13" t="s">
        <v>227</v>
      </c>
      <c r="J13" t="s">
        <v>228</v>
      </c>
      <c r="K13" t="s">
        <v>3691</v>
      </c>
      <c r="L13" t="s">
        <v>229</v>
      </c>
      <c r="M13" t="s">
        <v>230</v>
      </c>
      <c r="N13" t="s">
        <v>231</v>
      </c>
      <c r="O13" t="s">
        <v>232</v>
      </c>
      <c r="P13">
        <v>0</v>
      </c>
      <c r="Q13" t="s">
        <v>233</v>
      </c>
      <c r="R13">
        <v>2026</v>
      </c>
      <c r="S13">
        <v>16</v>
      </c>
      <c r="T13">
        <v>1</v>
      </c>
      <c r="U13" t="s">
        <v>31</v>
      </c>
      <c r="V13" t="s">
        <v>31</v>
      </c>
      <c r="W13">
        <v>16855</v>
      </c>
      <c r="X13" t="s">
        <v>234</v>
      </c>
      <c r="Y13" t="str">
        <f>HYPERLINK("http://dx.doi.org/10.1038/s41598-026-47700-6","http://dx.doi.org/10.1038/s41598-026-47700-6")</f>
        <v>http://dx.doi.org/10.1038/s41598-026-47700-6</v>
      </c>
      <c r="Z13" t="s">
        <v>31</v>
      </c>
      <c r="AA13" t="s">
        <v>101</v>
      </c>
      <c r="AB13" t="s">
        <v>102</v>
      </c>
      <c r="AC13" t="s">
        <v>47</v>
      </c>
      <c r="AD13" t="s">
        <v>235</v>
      </c>
      <c r="AE13" t="str">
        <f>HYPERLINK("https%3A%2F%2Fwww.webofscience.com%2Fwos%2Fwoscc%2Ffull-record%2FWOS:001783431100013","View Full Record in Web of Science")</f>
        <v>View Full Record in Web of Science</v>
      </c>
      <c r="AG13" s="4" t="s">
        <v>3657</v>
      </c>
      <c r="AH13" s="4" t="s">
        <v>3694</v>
      </c>
      <c r="AI13" s="4" t="s">
        <v>3648</v>
      </c>
      <c r="AJ13">
        <v>1</v>
      </c>
      <c r="AK13" t="s">
        <v>3705</v>
      </c>
      <c r="AL13" s="4" t="s">
        <v>3735</v>
      </c>
      <c r="AM13" s="4" t="s">
        <v>3744</v>
      </c>
      <c r="AN13" s="4" t="s">
        <v>3650</v>
      </c>
      <c r="AO13" s="4" t="s">
        <v>3745</v>
      </c>
      <c r="AP13" s="4" t="s">
        <v>3706</v>
      </c>
      <c r="AQ13" s="4" t="s">
        <v>3707</v>
      </c>
      <c r="AR13">
        <v>2</v>
      </c>
      <c r="AS13" t="s">
        <v>3653</v>
      </c>
      <c r="AT13" t="s">
        <v>3709</v>
      </c>
    </row>
    <row r="14" spans="1:46" ht="20.100000000000001" customHeight="1" x14ac:dyDescent="0.2">
      <c r="A14" t="s">
        <v>236</v>
      </c>
      <c r="B14" t="s">
        <v>237</v>
      </c>
      <c r="C14" t="s">
        <v>238</v>
      </c>
      <c r="D14" t="s">
        <v>239</v>
      </c>
      <c r="E14" t="s">
        <v>240</v>
      </c>
      <c r="F14" t="s">
        <v>241</v>
      </c>
      <c r="G14" t="s">
        <v>242</v>
      </c>
      <c r="H14" t="s">
        <v>243</v>
      </c>
      <c r="I14" t="s">
        <v>244</v>
      </c>
      <c r="J14" t="s">
        <v>245</v>
      </c>
      <c r="K14" t="s">
        <v>3713</v>
      </c>
      <c r="L14" t="s">
        <v>246</v>
      </c>
      <c r="M14" t="s">
        <v>247</v>
      </c>
      <c r="N14" t="s">
        <v>248</v>
      </c>
      <c r="O14" t="s">
        <v>249</v>
      </c>
      <c r="P14">
        <v>1</v>
      </c>
      <c r="Q14" t="s">
        <v>250</v>
      </c>
      <c r="R14">
        <v>2026</v>
      </c>
      <c r="S14">
        <v>16</v>
      </c>
      <c r="T14">
        <v>3</v>
      </c>
      <c r="U14" t="s">
        <v>31</v>
      </c>
      <c r="V14" t="s">
        <v>31</v>
      </c>
      <c r="W14" t="s">
        <v>251</v>
      </c>
      <c r="X14" t="s">
        <v>252</v>
      </c>
      <c r="Y14" t="str">
        <f>HYPERLINK("http://dx.doi.org/10.1002/ece3.73235","http://dx.doi.org/10.1002/ece3.73235")</f>
        <v>http://dx.doi.org/10.1002/ece3.73235</v>
      </c>
      <c r="Z14" t="s">
        <v>31</v>
      </c>
      <c r="AA14" t="s">
        <v>253</v>
      </c>
      <c r="AB14" t="s">
        <v>254</v>
      </c>
      <c r="AC14" t="s">
        <v>47</v>
      </c>
      <c r="AD14" t="s">
        <v>255</v>
      </c>
      <c r="AE14" t="str">
        <f>HYPERLINK("https%3A%2F%2Fwww.webofscience.com%2Fwos%2Fwoscc%2Ffull-record%2FWOS:001720388500001","View Full Record in Web of Science")</f>
        <v>View Full Record in Web of Science</v>
      </c>
      <c r="AG14" s="4" t="s">
        <v>3679</v>
      </c>
      <c r="AH14" s="4" t="s">
        <v>3657</v>
      </c>
      <c r="AI14" s="4" t="s">
        <v>3632</v>
      </c>
      <c r="AJ14">
        <v>0</v>
      </c>
      <c r="AK14" t="s">
        <v>3710</v>
      </c>
      <c r="AL14" s="4" t="s">
        <v>3639</v>
      </c>
      <c r="AM14" s="4"/>
      <c r="AN14" s="4" t="s">
        <v>3639</v>
      </c>
      <c r="AO14" s="4"/>
      <c r="AP14" s="4" t="s">
        <v>3635</v>
      </c>
      <c r="AQ14" s="4" t="s">
        <v>3711</v>
      </c>
      <c r="AR14">
        <v>2</v>
      </c>
      <c r="AS14" s="4" t="s">
        <v>3653</v>
      </c>
      <c r="AT14" t="s">
        <v>3712</v>
      </c>
    </row>
    <row r="15" spans="1:46" ht="20.100000000000001" customHeight="1" x14ac:dyDescent="0.2">
      <c r="A15" t="s">
        <v>256</v>
      </c>
      <c r="B15" t="s">
        <v>257</v>
      </c>
      <c r="C15" t="s">
        <v>258</v>
      </c>
      <c r="D15" t="s">
        <v>259</v>
      </c>
      <c r="E15" t="s">
        <v>260</v>
      </c>
      <c r="F15" t="s">
        <v>261</v>
      </c>
      <c r="G15" t="s">
        <v>262</v>
      </c>
      <c r="H15" t="s">
        <v>263</v>
      </c>
      <c r="I15" t="s">
        <v>264</v>
      </c>
      <c r="J15" t="s">
        <v>265</v>
      </c>
      <c r="K15" t="s">
        <v>3716</v>
      </c>
      <c r="L15" t="s">
        <v>266</v>
      </c>
      <c r="M15" t="s">
        <v>267</v>
      </c>
      <c r="N15" t="s">
        <v>267</v>
      </c>
      <c r="O15" t="s">
        <v>268</v>
      </c>
      <c r="P15">
        <v>0</v>
      </c>
      <c r="Q15" t="s">
        <v>269</v>
      </c>
      <c r="R15">
        <v>2026</v>
      </c>
      <c r="S15">
        <v>43</v>
      </c>
      <c r="T15" t="s">
        <v>31</v>
      </c>
      <c r="U15" t="s">
        <v>31</v>
      </c>
      <c r="V15" t="s">
        <v>31</v>
      </c>
      <c r="W15">
        <v>101437</v>
      </c>
      <c r="X15" t="s">
        <v>270</v>
      </c>
      <c r="Y15" t="str">
        <f>HYPERLINK("http://dx.doi.org/10.1016/j.ijgfs.2026.101437","http://dx.doi.org/10.1016/j.ijgfs.2026.101437")</f>
        <v>http://dx.doi.org/10.1016/j.ijgfs.2026.101437</v>
      </c>
      <c r="Z15" t="s">
        <v>271</v>
      </c>
      <c r="AA15" t="s">
        <v>46</v>
      </c>
      <c r="AB15" t="s">
        <v>46</v>
      </c>
      <c r="AC15" t="s">
        <v>47</v>
      </c>
      <c r="AD15" t="s">
        <v>272</v>
      </c>
      <c r="AE15" t="str">
        <f>HYPERLINK("https%3A%2F%2Fwww.webofscience.com%2Fwos%2Fwoscc%2Ffull-record%2FWOS:001695080800001","View Full Record in Web of Science")</f>
        <v>View Full Record in Web of Science</v>
      </c>
      <c r="AG15" s="4" t="s">
        <v>3637</v>
      </c>
      <c r="AH15" s="4" t="s">
        <v>3684</v>
      </c>
      <c r="AI15" s="4" t="s">
        <v>3685</v>
      </c>
      <c r="AJ15">
        <v>0</v>
      </c>
      <c r="AK15" t="s">
        <v>3714</v>
      </c>
      <c r="AL15" s="4" t="s">
        <v>3650</v>
      </c>
      <c r="AM15" s="4" t="s">
        <v>3746</v>
      </c>
      <c r="AN15" s="4" t="s">
        <v>3650</v>
      </c>
      <c r="AO15" s="4" t="s">
        <v>3747</v>
      </c>
      <c r="AP15" s="4" t="s">
        <v>3651</v>
      </c>
      <c r="AQ15" t="s">
        <v>3715</v>
      </c>
      <c r="AR15">
        <v>6</v>
      </c>
      <c r="AS15" t="s">
        <v>3653</v>
      </c>
      <c r="AT15" s="2" t="s">
        <v>3717</v>
      </c>
    </row>
    <row r="16" spans="1:46" ht="20.100000000000001" customHeight="1" x14ac:dyDescent="0.2">
      <c r="A16" t="s">
        <v>273</v>
      </c>
      <c r="B16" t="s">
        <v>274</v>
      </c>
      <c r="C16" t="s">
        <v>275</v>
      </c>
      <c r="D16" t="s">
        <v>276</v>
      </c>
      <c r="E16" t="s">
        <v>277</v>
      </c>
      <c r="F16" t="s">
        <v>278</v>
      </c>
      <c r="G16" t="s">
        <v>279</v>
      </c>
      <c r="H16" t="s">
        <v>280</v>
      </c>
      <c r="I16" t="s">
        <v>281</v>
      </c>
      <c r="J16" t="s">
        <v>282</v>
      </c>
      <c r="K16" t="s">
        <v>3718</v>
      </c>
      <c r="L16" t="s">
        <v>283</v>
      </c>
      <c r="M16" t="s">
        <v>284</v>
      </c>
      <c r="N16" t="s">
        <v>284</v>
      </c>
      <c r="O16" t="s">
        <v>285</v>
      </c>
      <c r="P16">
        <v>0</v>
      </c>
      <c r="Q16" t="s">
        <v>269</v>
      </c>
      <c r="R16">
        <v>2026</v>
      </c>
      <c r="S16">
        <v>596</v>
      </c>
      <c r="T16" t="s">
        <v>31</v>
      </c>
      <c r="U16" t="s">
        <v>31</v>
      </c>
      <c r="V16" t="s">
        <v>31</v>
      </c>
      <c r="W16">
        <v>152173</v>
      </c>
      <c r="X16" t="s">
        <v>286</v>
      </c>
      <c r="Y16" t="str">
        <f>HYPERLINK("http://dx.doi.org/10.1016/j.jembe.2026.152173","http://dx.doi.org/10.1016/j.jembe.2026.152173")</f>
        <v>http://dx.doi.org/10.1016/j.jembe.2026.152173</v>
      </c>
      <c r="Z16" t="s">
        <v>271</v>
      </c>
      <c r="AA16" t="s">
        <v>287</v>
      </c>
      <c r="AB16" t="s">
        <v>288</v>
      </c>
      <c r="AC16" t="s">
        <v>47</v>
      </c>
      <c r="AD16" t="s">
        <v>289</v>
      </c>
      <c r="AE16" t="str">
        <f>HYPERLINK("https%3A%2F%2Fwww.webofscience.com%2Fwos%2Fwoscc%2Ffull-record%2FWOS:001694204700001","View Full Record in Web of Science")</f>
        <v>View Full Record in Web of Science</v>
      </c>
      <c r="AG16" s="4" t="s">
        <v>3656</v>
      </c>
      <c r="AH16" s="4" t="s">
        <v>3876</v>
      </c>
      <c r="AI16" s="4" t="s">
        <v>3719</v>
      </c>
      <c r="AJ16">
        <v>3</v>
      </c>
      <c r="AK16" t="s">
        <v>3720</v>
      </c>
      <c r="AL16" s="4" t="s">
        <v>3650</v>
      </c>
      <c r="AM16" s="4" t="s">
        <v>3748</v>
      </c>
      <c r="AN16" s="8" t="s">
        <v>3650</v>
      </c>
      <c r="AO16" s="8" t="s">
        <v>3749</v>
      </c>
      <c r="AP16" s="4" t="s">
        <v>3721</v>
      </c>
      <c r="AQ16" s="4" t="s">
        <v>3722</v>
      </c>
      <c r="AR16">
        <v>6</v>
      </c>
      <c r="AS16" s="4" t="s">
        <v>3723</v>
      </c>
      <c r="AT16" s="4" t="s">
        <v>3724</v>
      </c>
    </row>
    <row r="17" spans="1:46" ht="20.100000000000001" customHeight="1" x14ac:dyDescent="0.2">
      <c r="A17" t="s">
        <v>290</v>
      </c>
      <c r="B17" t="s">
        <v>291</v>
      </c>
      <c r="C17" t="s">
        <v>292</v>
      </c>
      <c r="D17" t="s">
        <v>293</v>
      </c>
      <c r="E17" t="s">
        <v>294</v>
      </c>
      <c r="F17" t="s">
        <v>31</v>
      </c>
      <c r="G17" s="4" t="s">
        <v>295</v>
      </c>
      <c r="H17" t="s">
        <v>296</v>
      </c>
      <c r="I17" t="s">
        <v>297</v>
      </c>
      <c r="J17" t="s">
        <v>298</v>
      </c>
      <c r="K17" s="4" t="s">
        <v>3664</v>
      </c>
      <c r="L17" t="s">
        <v>299</v>
      </c>
      <c r="M17" t="s">
        <v>300</v>
      </c>
      <c r="N17" t="s">
        <v>301</v>
      </c>
      <c r="O17" t="s">
        <v>302</v>
      </c>
      <c r="P17">
        <v>1</v>
      </c>
      <c r="Q17" t="s">
        <v>169</v>
      </c>
      <c r="R17">
        <v>2026</v>
      </c>
      <c r="S17">
        <v>6</v>
      </c>
      <c r="T17">
        <v>1</v>
      </c>
      <c r="U17" t="s">
        <v>31</v>
      </c>
      <c r="V17" t="s">
        <v>31</v>
      </c>
      <c r="W17">
        <v>101649</v>
      </c>
      <c r="X17" t="s">
        <v>303</v>
      </c>
      <c r="Y17" t="str">
        <f>HYPERLINK("http://dx.doi.org/10.1016/j.afres.2025.101649","http://dx.doi.org/10.1016/j.afres.2025.101649")</f>
        <v>http://dx.doi.org/10.1016/j.afres.2025.101649</v>
      </c>
      <c r="Z17" t="s">
        <v>304</v>
      </c>
      <c r="AA17" t="s">
        <v>46</v>
      </c>
      <c r="AB17" t="s">
        <v>46</v>
      </c>
      <c r="AC17" t="s">
        <v>47</v>
      </c>
      <c r="AD17" t="s">
        <v>305</v>
      </c>
      <c r="AE17" t="str">
        <f>HYPERLINK("https%3A%2F%2Fwww.webofscience.com%2Fwos%2Fwoscc%2Ffull-record%2FWOS:001678202500001","View Full Record in Web of Science")</f>
        <v>View Full Record in Web of Science</v>
      </c>
      <c r="AG17" s="4" t="s">
        <v>3637</v>
      </c>
      <c r="AH17" s="4" t="s">
        <v>3656</v>
      </c>
      <c r="AI17">
        <v>0</v>
      </c>
      <c r="AJ17">
        <v>0</v>
      </c>
      <c r="AK17" s="4" t="s">
        <v>3725</v>
      </c>
      <c r="AL17" s="4" t="s">
        <v>3639</v>
      </c>
      <c r="AM17" s="4"/>
      <c r="AN17" s="8" t="s">
        <v>3639</v>
      </c>
      <c r="AO17" s="8" t="s">
        <v>3974</v>
      </c>
      <c r="AP17" s="4" t="s">
        <v>3635</v>
      </c>
      <c r="AQ17" s="4" t="s">
        <v>3726</v>
      </c>
      <c r="AR17" s="4" t="s">
        <v>3727</v>
      </c>
      <c r="AS17" s="4" t="s">
        <v>3633</v>
      </c>
      <c r="AT17" s="4" t="s">
        <v>3728</v>
      </c>
    </row>
    <row r="18" spans="1:46" ht="20.100000000000001" customHeight="1" x14ac:dyDescent="0.2">
      <c r="A18" t="s">
        <v>306</v>
      </c>
      <c r="B18" t="s">
        <v>307</v>
      </c>
      <c r="C18" t="s">
        <v>308</v>
      </c>
      <c r="D18" t="s">
        <v>207</v>
      </c>
      <c r="E18" t="s">
        <v>309</v>
      </c>
      <c r="F18" t="s">
        <v>310</v>
      </c>
      <c r="G18" s="4" t="s">
        <v>311</v>
      </c>
      <c r="H18" t="s">
        <v>312</v>
      </c>
      <c r="I18" t="s">
        <v>313</v>
      </c>
      <c r="J18" t="s">
        <v>314</v>
      </c>
      <c r="K18" s="4" t="s">
        <v>3664</v>
      </c>
      <c r="L18" t="s">
        <v>315</v>
      </c>
      <c r="M18" t="s">
        <v>316</v>
      </c>
      <c r="N18" t="s">
        <v>316</v>
      </c>
      <c r="O18" t="s">
        <v>317</v>
      </c>
      <c r="P18">
        <v>0</v>
      </c>
      <c r="Q18" t="s">
        <v>44</v>
      </c>
      <c r="R18">
        <v>2026</v>
      </c>
      <c r="S18">
        <v>293</v>
      </c>
      <c r="T18" t="s">
        <v>31</v>
      </c>
      <c r="U18" t="s">
        <v>31</v>
      </c>
      <c r="V18" t="s">
        <v>31</v>
      </c>
      <c r="W18">
        <v>107649</v>
      </c>
      <c r="X18" t="s">
        <v>318</v>
      </c>
      <c r="Y18" t="str">
        <f>HYPERLINK("http://dx.doi.org/10.1016/j.fishres.2026.107649","http://dx.doi.org/10.1016/j.fishres.2026.107649")</f>
        <v>http://dx.doi.org/10.1016/j.fishres.2026.107649</v>
      </c>
      <c r="Z18" t="s">
        <v>304</v>
      </c>
      <c r="AA18" t="s">
        <v>218</v>
      </c>
      <c r="AB18" t="s">
        <v>218</v>
      </c>
      <c r="AC18" t="s">
        <v>47</v>
      </c>
      <c r="AD18" t="s">
        <v>319</v>
      </c>
      <c r="AE18" t="str">
        <f>HYPERLINK("https%3A%2F%2Fwww.webofscience.com%2Fwos%2Fwoscc%2Ffull-record%2FWOS:001668406300001","View Full Record in Web of Science")</f>
        <v>View Full Record in Web of Science</v>
      </c>
      <c r="AG18" s="4" t="s">
        <v>3667</v>
      </c>
      <c r="AH18" s="4" t="s">
        <v>3637</v>
      </c>
      <c r="AI18" s="4" t="s">
        <v>3719</v>
      </c>
      <c r="AJ18">
        <v>2</v>
      </c>
      <c r="AK18" s="4" t="s">
        <v>3733</v>
      </c>
      <c r="AL18" s="4" t="s">
        <v>3650</v>
      </c>
      <c r="AM18" s="4" t="s">
        <v>3734</v>
      </c>
      <c r="AN18" s="4" t="s">
        <v>3639</v>
      </c>
      <c r="AO18" s="4"/>
      <c r="AP18" s="4" t="s">
        <v>3635</v>
      </c>
      <c r="AQ18" s="4" t="s">
        <v>3750</v>
      </c>
      <c r="AR18" s="4">
        <v>15</v>
      </c>
      <c r="AS18" s="4" t="s">
        <v>3633</v>
      </c>
      <c r="AT18" s="4" t="s">
        <v>3751</v>
      </c>
    </row>
    <row r="19" spans="1:46" ht="20.100000000000001" customHeight="1" x14ac:dyDescent="0.2">
      <c r="A19" t="s">
        <v>320</v>
      </c>
      <c r="B19" t="s">
        <v>321</v>
      </c>
      <c r="C19" t="s">
        <v>322</v>
      </c>
      <c r="D19" t="s">
        <v>323</v>
      </c>
      <c r="E19" t="s">
        <v>324</v>
      </c>
      <c r="F19" t="s">
        <v>325</v>
      </c>
      <c r="G19" s="4" t="s">
        <v>326</v>
      </c>
      <c r="H19" t="s">
        <v>327</v>
      </c>
      <c r="I19" t="s">
        <v>73</v>
      </c>
      <c r="J19" t="s">
        <v>328</v>
      </c>
      <c r="K19" s="4" t="s">
        <v>3753</v>
      </c>
      <c r="L19" t="s">
        <v>329</v>
      </c>
      <c r="M19" t="s">
        <v>330</v>
      </c>
      <c r="N19" t="s">
        <v>331</v>
      </c>
      <c r="O19" t="s">
        <v>332</v>
      </c>
      <c r="P19">
        <v>0</v>
      </c>
      <c r="Q19" t="s">
        <v>44</v>
      </c>
      <c r="R19">
        <v>2026</v>
      </c>
      <c r="S19">
        <v>15</v>
      </c>
      <c r="T19">
        <v>1</v>
      </c>
      <c r="U19" t="s">
        <v>31</v>
      </c>
      <c r="V19" t="s">
        <v>31</v>
      </c>
      <c r="W19" t="s">
        <v>333</v>
      </c>
      <c r="X19" t="s">
        <v>334</v>
      </c>
      <c r="Y19" t="str">
        <f>HYPERLINK("http://dx.doi.org/10.1242/bio.062268","http://dx.doi.org/10.1242/bio.062268")</f>
        <v>http://dx.doi.org/10.1242/bio.062268</v>
      </c>
      <c r="Z19" t="s">
        <v>31</v>
      </c>
      <c r="AA19" t="s">
        <v>335</v>
      </c>
      <c r="AB19" t="s">
        <v>336</v>
      </c>
      <c r="AC19" t="s">
        <v>47</v>
      </c>
      <c r="AD19" t="s">
        <v>337</v>
      </c>
      <c r="AE19" t="str">
        <f>HYPERLINK("https%3A%2F%2Fwww.webofscience.com%2Fwos%2Fwoscc%2Ffull-record%2FWOS:001773064300001","View Full Record in Web of Science")</f>
        <v>View Full Record in Web of Science</v>
      </c>
      <c r="AG19" s="4" t="s">
        <v>3647</v>
      </c>
      <c r="AH19" s="4" t="s">
        <v>3657</v>
      </c>
      <c r="AI19" s="4" t="s">
        <v>3754</v>
      </c>
      <c r="AJ19">
        <v>0</v>
      </c>
      <c r="AK19" s="4" t="s">
        <v>3755</v>
      </c>
      <c r="AL19" s="4" t="s">
        <v>3650</v>
      </c>
      <c r="AM19" s="4" t="s">
        <v>3756</v>
      </c>
      <c r="AN19" s="4" t="s">
        <v>3650</v>
      </c>
      <c r="AO19" s="4" t="s">
        <v>3757</v>
      </c>
      <c r="AP19" s="4" t="s">
        <v>3670</v>
      </c>
      <c r="AQ19" s="4" t="s">
        <v>3758</v>
      </c>
      <c r="AR19" s="4">
        <v>0</v>
      </c>
      <c r="AS19">
        <v>0</v>
      </c>
      <c r="AT19" s="4" t="s">
        <v>3759</v>
      </c>
    </row>
    <row r="20" spans="1:46" ht="20.100000000000001" customHeight="1" x14ac:dyDescent="0.2">
      <c r="A20" t="s">
        <v>338</v>
      </c>
      <c r="B20" t="s">
        <v>339</v>
      </c>
      <c r="C20" t="s">
        <v>340</v>
      </c>
      <c r="D20" t="s">
        <v>341</v>
      </c>
      <c r="E20" t="s">
        <v>342</v>
      </c>
      <c r="F20" t="s">
        <v>343</v>
      </c>
      <c r="G20" s="4" t="s">
        <v>344</v>
      </c>
      <c r="H20" t="s">
        <v>345</v>
      </c>
      <c r="I20" t="s">
        <v>346</v>
      </c>
      <c r="J20" t="s">
        <v>347</v>
      </c>
      <c r="K20" s="4" t="s">
        <v>3693</v>
      </c>
      <c r="L20" t="s">
        <v>348</v>
      </c>
      <c r="M20" t="s">
        <v>31</v>
      </c>
      <c r="N20" t="s">
        <v>31</v>
      </c>
      <c r="O20" t="s">
        <v>31</v>
      </c>
      <c r="P20">
        <v>0</v>
      </c>
      <c r="Q20" t="s">
        <v>31</v>
      </c>
      <c r="R20">
        <v>2026</v>
      </c>
      <c r="S20">
        <v>16</v>
      </c>
      <c r="T20">
        <v>1</v>
      </c>
      <c r="U20">
        <v>437</v>
      </c>
      <c r="V20">
        <v>444</v>
      </c>
      <c r="W20" t="s">
        <v>31</v>
      </c>
      <c r="X20" t="s">
        <v>349</v>
      </c>
      <c r="Y20" t="str">
        <f>HYPERLINK("http://dx.doi.org/10.5455/OVJ.2026.v16.i1.40","http://dx.doi.org/10.5455/OVJ.2026.v16.i1.40")</f>
        <v>http://dx.doi.org/10.5455/OVJ.2026.v16.i1.40</v>
      </c>
      <c r="Z20" t="s">
        <v>31</v>
      </c>
      <c r="AA20" t="s">
        <v>350</v>
      </c>
      <c r="AB20" t="s">
        <v>350</v>
      </c>
      <c r="AC20" t="s">
        <v>47</v>
      </c>
      <c r="AD20" t="s">
        <v>351</v>
      </c>
      <c r="AE20" t="str">
        <f>HYPERLINK("https%3A%2F%2Fwww.webofscience.com%2Fwos%2Fwoscc%2Ffull-record%2FWOS:001691658600036","View Full Record in Web of Science")</f>
        <v>View Full Record in Web of Science</v>
      </c>
      <c r="AG20" s="4" t="s">
        <v>3637</v>
      </c>
      <c r="AH20" s="4" t="s">
        <v>3658</v>
      </c>
      <c r="AI20" s="4" t="s">
        <v>3632</v>
      </c>
      <c r="AJ20">
        <v>0</v>
      </c>
      <c r="AK20" s="4" t="s">
        <v>3760</v>
      </c>
      <c r="AL20" s="4" t="s">
        <v>3639</v>
      </c>
      <c r="AN20" s="4" t="s">
        <v>3639</v>
      </c>
      <c r="AO20" s="4" t="s">
        <v>3761</v>
      </c>
      <c r="AP20" s="4" t="s">
        <v>3635</v>
      </c>
      <c r="AQ20" s="4" t="s">
        <v>3762</v>
      </c>
      <c r="AR20" s="4">
        <v>390</v>
      </c>
      <c r="AS20" s="4" t="s">
        <v>3633</v>
      </c>
      <c r="AT20" s="8" t="s">
        <v>3763</v>
      </c>
    </row>
    <row r="21" spans="1:46" ht="20.100000000000001" customHeight="1" x14ac:dyDescent="0.2">
      <c r="A21" t="s">
        <v>352</v>
      </c>
      <c r="B21" t="s">
        <v>353</v>
      </c>
      <c r="C21" t="s">
        <v>354</v>
      </c>
      <c r="D21" t="s">
        <v>355</v>
      </c>
      <c r="E21" t="s">
        <v>356</v>
      </c>
      <c r="F21" t="s">
        <v>357</v>
      </c>
      <c r="G21" s="4" t="s">
        <v>358</v>
      </c>
      <c r="H21" t="s">
        <v>359</v>
      </c>
      <c r="I21" t="s">
        <v>31</v>
      </c>
      <c r="J21" t="s">
        <v>360</v>
      </c>
      <c r="K21" s="4" t="s">
        <v>3692</v>
      </c>
      <c r="L21" t="s">
        <v>361</v>
      </c>
      <c r="M21" t="s">
        <v>31</v>
      </c>
      <c r="N21" t="s">
        <v>31</v>
      </c>
      <c r="O21" t="s">
        <v>31</v>
      </c>
      <c r="P21">
        <v>0</v>
      </c>
      <c r="Q21" t="s">
        <v>31</v>
      </c>
      <c r="R21">
        <v>2026</v>
      </c>
      <c r="S21">
        <v>14</v>
      </c>
      <c r="T21">
        <v>1</v>
      </c>
      <c r="U21">
        <v>25</v>
      </c>
      <c r="V21">
        <v>30</v>
      </c>
      <c r="W21" t="s">
        <v>31</v>
      </c>
      <c r="X21" t="s">
        <v>362</v>
      </c>
      <c r="Y21" t="str">
        <f>HYPERLINK("http://dx.doi.org/10.19227/jzar.v14i1.985","http://dx.doi.org/10.19227/jzar.v14i1.985")</f>
        <v>http://dx.doi.org/10.19227/jzar.v14i1.985</v>
      </c>
      <c r="Z21" t="s">
        <v>31</v>
      </c>
      <c r="AA21" t="s">
        <v>184</v>
      </c>
      <c r="AB21" t="s">
        <v>184</v>
      </c>
      <c r="AC21" t="s">
        <v>47</v>
      </c>
      <c r="AD21" t="s">
        <v>363</v>
      </c>
      <c r="AE21" t="str">
        <f>HYPERLINK("https%3A%2F%2Fwww.webofscience.com%2Fwos%2Fwoscc%2Ffull-record%2FWOS:001686976300004","View Full Record in Web of Science")</f>
        <v>View Full Record in Web of Science</v>
      </c>
      <c r="AG21" s="4" t="s">
        <v>3684</v>
      </c>
      <c r="AI21" s="4" t="s">
        <v>3685</v>
      </c>
      <c r="AJ21">
        <v>0</v>
      </c>
      <c r="AK21" s="4" t="s">
        <v>3764</v>
      </c>
      <c r="AL21" s="4" t="s">
        <v>3650</v>
      </c>
      <c r="AM21" s="4" t="s">
        <v>3765</v>
      </c>
      <c r="AN21" s="4" t="s">
        <v>3639</v>
      </c>
      <c r="AP21" s="4" t="s">
        <v>3670</v>
      </c>
      <c r="AQ21" s="4" t="s">
        <v>3766</v>
      </c>
      <c r="AR21" s="4">
        <v>17</v>
      </c>
      <c r="AS21">
        <v>0</v>
      </c>
      <c r="AT21" s="4" t="s">
        <v>3767</v>
      </c>
    </row>
    <row r="22" spans="1:46" ht="20.100000000000001" customHeight="1" x14ac:dyDescent="0.2">
      <c r="A22" t="s">
        <v>364</v>
      </c>
      <c r="B22" t="s">
        <v>365</v>
      </c>
      <c r="C22" t="s">
        <v>366</v>
      </c>
      <c r="D22" t="s">
        <v>367</v>
      </c>
      <c r="E22" t="s">
        <v>368</v>
      </c>
      <c r="F22" t="s">
        <v>369</v>
      </c>
      <c r="G22" s="4" t="s">
        <v>370</v>
      </c>
      <c r="H22" t="s">
        <v>371</v>
      </c>
      <c r="I22" t="s">
        <v>372</v>
      </c>
      <c r="J22" t="s">
        <v>373</v>
      </c>
      <c r="K22" s="4" t="s">
        <v>3691</v>
      </c>
      <c r="L22" t="s">
        <v>374</v>
      </c>
      <c r="M22" t="s">
        <v>375</v>
      </c>
      <c r="N22" t="s">
        <v>376</v>
      </c>
      <c r="O22" t="s">
        <v>377</v>
      </c>
      <c r="P22">
        <v>1</v>
      </c>
      <c r="Q22" t="s">
        <v>378</v>
      </c>
      <c r="R22">
        <v>2025</v>
      </c>
      <c r="S22">
        <v>15</v>
      </c>
      <c r="T22">
        <v>24</v>
      </c>
      <c r="U22" t="s">
        <v>31</v>
      </c>
      <c r="V22" t="s">
        <v>31</v>
      </c>
      <c r="W22">
        <v>3566</v>
      </c>
      <c r="X22" t="s">
        <v>379</v>
      </c>
      <c r="Y22" t="str">
        <f>HYPERLINK("http://dx.doi.org/10.3390/ani15243566","http://dx.doi.org/10.3390/ani15243566")</f>
        <v>http://dx.doi.org/10.3390/ani15243566</v>
      </c>
      <c r="Z22" t="s">
        <v>31</v>
      </c>
      <c r="AA22" t="s">
        <v>380</v>
      </c>
      <c r="AB22" t="s">
        <v>381</v>
      </c>
      <c r="AC22" t="s">
        <v>47</v>
      </c>
      <c r="AD22" t="s">
        <v>382</v>
      </c>
      <c r="AE22" t="str">
        <f>HYPERLINK("https%3A%2F%2Fwww.webofscience.com%2Fwos%2Fwoscc%2Ffull-record%2FWOS:001648103700001","View Full Record in Web of Science")</f>
        <v>View Full Record in Web of Science</v>
      </c>
      <c r="AG22" s="4" t="s">
        <v>3667</v>
      </c>
      <c r="AH22" s="4" t="s">
        <v>3876</v>
      </c>
      <c r="AI22" s="4" t="s">
        <v>3719</v>
      </c>
      <c r="AJ22">
        <v>2</v>
      </c>
      <c r="AK22" s="4" t="s">
        <v>3768</v>
      </c>
      <c r="AL22" s="4" t="s">
        <v>3650</v>
      </c>
      <c r="AM22" s="4" t="s">
        <v>3769</v>
      </c>
      <c r="AN22" s="4" t="s">
        <v>3650</v>
      </c>
      <c r="AO22" s="4" t="s">
        <v>3770</v>
      </c>
      <c r="AP22" s="4" t="s">
        <v>3721</v>
      </c>
      <c r="AQ22" s="4" t="s">
        <v>3772</v>
      </c>
      <c r="AR22" s="4">
        <v>15</v>
      </c>
      <c r="AS22" s="4" t="s">
        <v>3653</v>
      </c>
      <c r="AT22" s="5" t="s">
        <v>3771</v>
      </c>
    </row>
    <row r="23" spans="1:46" ht="20.100000000000001" customHeight="1" x14ac:dyDescent="0.2">
      <c r="A23" t="s">
        <v>383</v>
      </c>
      <c r="B23" t="s">
        <v>384</v>
      </c>
      <c r="C23" t="s">
        <v>385</v>
      </c>
      <c r="D23" t="s">
        <v>386</v>
      </c>
      <c r="E23" t="s">
        <v>387</v>
      </c>
      <c r="F23" t="s">
        <v>388</v>
      </c>
      <c r="G23" s="4" t="s">
        <v>389</v>
      </c>
      <c r="H23" t="s">
        <v>390</v>
      </c>
      <c r="I23" t="s">
        <v>391</v>
      </c>
      <c r="J23" t="s">
        <v>392</v>
      </c>
      <c r="K23" s="4" t="s">
        <v>3773</v>
      </c>
      <c r="L23" t="s">
        <v>393</v>
      </c>
      <c r="M23" t="s">
        <v>394</v>
      </c>
      <c r="N23" t="s">
        <v>395</v>
      </c>
      <c r="O23" t="s">
        <v>396</v>
      </c>
      <c r="P23">
        <v>0</v>
      </c>
      <c r="Q23" t="s">
        <v>397</v>
      </c>
      <c r="R23">
        <v>2025</v>
      </c>
      <c r="S23">
        <v>41</v>
      </c>
      <c r="T23">
        <v>1</v>
      </c>
      <c r="U23" t="s">
        <v>31</v>
      </c>
      <c r="V23" t="s">
        <v>31</v>
      </c>
      <c r="W23">
        <v>17</v>
      </c>
      <c r="X23" t="s">
        <v>398</v>
      </c>
      <c r="Y23" t="str">
        <f>HYPERLINK("http://dx.doi.org/10.1007/s10980-025-02274-y","http://dx.doi.org/10.1007/s10980-025-02274-y")</f>
        <v>http://dx.doi.org/10.1007/s10980-025-02274-y</v>
      </c>
      <c r="Z23" t="s">
        <v>31</v>
      </c>
      <c r="AA23" t="s">
        <v>399</v>
      </c>
      <c r="AB23" t="s">
        <v>400</v>
      </c>
      <c r="AC23" t="s">
        <v>47</v>
      </c>
      <c r="AD23" t="s">
        <v>401</v>
      </c>
      <c r="AE23" t="str">
        <f>HYPERLINK("https%3A%2F%2Fwww.webofscience.com%2Fwos%2Fwoscc%2Ffull-record%2FWOS:001660635200001","View Full Record in Web of Science")</f>
        <v>View Full Record in Web of Science</v>
      </c>
      <c r="AG23" s="4" t="s">
        <v>3667</v>
      </c>
      <c r="AH23" s="4" t="s">
        <v>3637</v>
      </c>
      <c r="AI23" s="4" t="s">
        <v>3632</v>
      </c>
      <c r="AJ23">
        <v>0</v>
      </c>
      <c r="AK23" s="5" t="s">
        <v>3774</v>
      </c>
      <c r="AL23" s="4" t="s">
        <v>3639</v>
      </c>
      <c r="AN23" s="4" t="s">
        <v>3639</v>
      </c>
      <c r="AP23" s="4" t="s">
        <v>3670</v>
      </c>
      <c r="AQ23" s="4" t="s">
        <v>3775</v>
      </c>
      <c r="AR23" s="4">
        <v>0</v>
      </c>
      <c r="AS23">
        <v>0</v>
      </c>
      <c r="AT23" s="5" t="s">
        <v>3776</v>
      </c>
    </row>
    <row r="24" spans="1:46" ht="20.100000000000001" customHeight="1" x14ac:dyDescent="0.2">
      <c r="A24" t="s">
        <v>402</v>
      </c>
      <c r="B24" t="s">
        <v>403</v>
      </c>
      <c r="C24" t="s">
        <v>404</v>
      </c>
      <c r="D24" t="s">
        <v>207</v>
      </c>
      <c r="E24" t="s">
        <v>405</v>
      </c>
      <c r="F24" t="s">
        <v>406</v>
      </c>
      <c r="G24" s="4" t="s">
        <v>407</v>
      </c>
      <c r="H24" t="s">
        <v>408</v>
      </c>
      <c r="I24" t="s">
        <v>409</v>
      </c>
      <c r="J24" t="s">
        <v>410</v>
      </c>
      <c r="K24" s="4" t="s">
        <v>3691</v>
      </c>
      <c r="L24" t="s">
        <v>411</v>
      </c>
      <c r="M24" t="s">
        <v>412</v>
      </c>
      <c r="N24" t="s">
        <v>413</v>
      </c>
      <c r="O24" t="s">
        <v>414</v>
      </c>
      <c r="P24">
        <v>1</v>
      </c>
      <c r="Q24" t="s">
        <v>44</v>
      </c>
      <c r="R24">
        <v>2026</v>
      </c>
      <c r="S24">
        <v>293</v>
      </c>
      <c r="T24" t="s">
        <v>31</v>
      </c>
      <c r="U24" t="s">
        <v>31</v>
      </c>
      <c r="V24" t="s">
        <v>31</v>
      </c>
      <c r="W24">
        <v>107622</v>
      </c>
      <c r="X24" t="s">
        <v>415</v>
      </c>
      <c r="Y24" t="str">
        <f>HYPERLINK("http://dx.doi.org/10.1016/j.fishres.2025.107622","http://dx.doi.org/10.1016/j.fishres.2025.107622")</f>
        <v>http://dx.doi.org/10.1016/j.fishres.2025.107622</v>
      </c>
      <c r="Z24" t="s">
        <v>416</v>
      </c>
      <c r="AA24" t="s">
        <v>218</v>
      </c>
      <c r="AB24" t="s">
        <v>218</v>
      </c>
      <c r="AC24" t="s">
        <v>47</v>
      </c>
      <c r="AD24" t="s">
        <v>417</v>
      </c>
      <c r="AE24" t="str">
        <f>HYPERLINK("https%3A%2F%2Fwww.webofscience.com%2Fwos%2Fwoscc%2Ffull-record%2FWOS:001638891000001","View Full Record in Web of Science")</f>
        <v>View Full Record in Web of Science</v>
      </c>
      <c r="AG24" s="4" t="s">
        <v>3637</v>
      </c>
      <c r="AI24" s="4" t="s">
        <v>3632</v>
      </c>
      <c r="AJ24">
        <v>0</v>
      </c>
      <c r="AK24" s="5" t="s">
        <v>3777</v>
      </c>
      <c r="AL24" s="4" t="s">
        <v>3639</v>
      </c>
      <c r="AN24" s="4" t="s">
        <v>3639</v>
      </c>
      <c r="AP24" s="4" t="s">
        <v>3670</v>
      </c>
      <c r="AQ24" s="4" t="s">
        <v>3778</v>
      </c>
      <c r="AR24" s="4" t="s">
        <v>3672</v>
      </c>
      <c r="AS24">
        <v>0</v>
      </c>
      <c r="AT24" s="4" t="s">
        <v>3779</v>
      </c>
    </row>
    <row r="25" spans="1:46" ht="20.100000000000001" customHeight="1" x14ac:dyDescent="0.2">
      <c r="A25" t="s">
        <v>418</v>
      </c>
      <c r="B25" t="s">
        <v>419</v>
      </c>
      <c r="C25" t="s">
        <v>420</v>
      </c>
      <c r="D25" t="s">
        <v>421</v>
      </c>
      <c r="E25" t="s">
        <v>422</v>
      </c>
      <c r="F25" t="s">
        <v>423</v>
      </c>
      <c r="G25" s="4" t="s">
        <v>424</v>
      </c>
      <c r="H25" t="s">
        <v>425</v>
      </c>
      <c r="I25" t="s">
        <v>426</v>
      </c>
      <c r="J25" t="s">
        <v>427</v>
      </c>
      <c r="K25" s="4" t="s">
        <v>3729</v>
      </c>
      <c r="L25" t="s">
        <v>428</v>
      </c>
      <c r="M25" t="s">
        <v>31</v>
      </c>
      <c r="N25" t="s">
        <v>31</v>
      </c>
      <c r="O25" t="s">
        <v>31</v>
      </c>
      <c r="P25">
        <v>0</v>
      </c>
      <c r="Q25" t="s">
        <v>429</v>
      </c>
      <c r="R25">
        <v>2025</v>
      </c>
      <c r="S25">
        <v>41</v>
      </c>
      <c r="T25">
        <v>4</v>
      </c>
      <c r="U25" t="s">
        <v>31</v>
      </c>
      <c r="V25" t="s">
        <v>31</v>
      </c>
      <c r="W25">
        <v>223</v>
      </c>
      <c r="X25" t="s">
        <v>430</v>
      </c>
      <c r="Y25" t="str">
        <f>HYPERLINK("http://dx.doi.org/10.1007/s41208-025-00967-4","http://dx.doi.org/10.1007/s41208-025-00967-4")</f>
        <v>http://dx.doi.org/10.1007/s41208-025-00967-4</v>
      </c>
      <c r="Z25" t="s">
        <v>31</v>
      </c>
      <c r="AA25" t="s">
        <v>431</v>
      </c>
      <c r="AB25" t="s">
        <v>431</v>
      </c>
      <c r="AC25" t="s">
        <v>47</v>
      </c>
      <c r="AD25" t="s">
        <v>432</v>
      </c>
      <c r="AE25" t="str">
        <f>HYPERLINK("https%3A%2F%2Fwww.webofscience.com%2Fwos%2Fwoscc%2Ffull-record%2FWOS:001611177300003","View Full Record in Web of Science")</f>
        <v>View Full Record in Web of Science</v>
      </c>
      <c r="AG25" s="4" t="s">
        <v>3637</v>
      </c>
      <c r="AH25" s="4"/>
      <c r="AI25" s="4" t="s">
        <v>3632</v>
      </c>
      <c r="AJ25">
        <v>0</v>
      </c>
      <c r="AK25" s="4" t="s">
        <v>3780</v>
      </c>
      <c r="AL25" s="4" t="s">
        <v>3639</v>
      </c>
      <c r="AN25" s="4" t="s">
        <v>3639</v>
      </c>
      <c r="AO25" s="4" t="s">
        <v>3975</v>
      </c>
      <c r="AP25" s="4" t="s">
        <v>3635</v>
      </c>
      <c r="AQ25" s="4" t="s">
        <v>3781</v>
      </c>
      <c r="AR25" s="10">
        <v>14919</v>
      </c>
      <c r="AS25" s="4" t="s">
        <v>3633</v>
      </c>
      <c r="AT25" s="4" t="s">
        <v>3782</v>
      </c>
    </row>
    <row r="26" spans="1:46" ht="20.100000000000001" customHeight="1" x14ac:dyDescent="0.2">
      <c r="A26" t="s">
        <v>433</v>
      </c>
      <c r="B26" t="s">
        <v>434</v>
      </c>
      <c r="C26" t="s">
        <v>435</v>
      </c>
      <c r="D26" t="s">
        <v>436</v>
      </c>
      <c r="E26" t="s">
        <v>437</v>
      </c>
      <c r="F26" t="s">
        <v>438</v>
      </c>
      <c r="G26" s="4" t="s">
        <v>439</v>
      </c>
      <c r="H26" t="s">
        <v>440</v>
      </c>
      <c r="I26" t="s">
        <v>441</v>
      </c>
      <c r="J26" t="s">
        <v>442</v>
      </c>
      <c r="K26" s="4" t="s">
        <v>3783</v>
      </c>
      <c r="L26" t="s">
        <v>443</v>
      </c>
      <c r="M26" t="s">
        <v>444</v>
      </c>
      <c r="N26" t="s">
        <v>445</v>
      </c>
      <c r="O26" t="s">
        <v>446</v>
      </c>
      <c r="P26">
        <v>0</v>
      </c>
      <c r="Q26" t="s">
        <v>447</v>
      </c>
      <c r="R26">
        <v>2026</v>
      </c>
      <c r="S26">
        <v>214</v>
      </c>
      <c r="T26" t="s">
        <v>31</v>
      </c>
      <c r="U26" t="s">
        <v>31</v>
      </c>
      <c r="V26" t="s">
        <v>31</v>
      </c>
      <c r="W26">
        <v>108480</v>
      </c>
      <c r="X26" t="s">
        <v>448</v>
      </c>
      <c r="Y26" t="str">
        <f>HYPERLINK("http://dx.doi.org/10.1016/j.jip.2025.108480","http://dx.doi.org/10.1016/j.jip.2025.108480")</f>
        <v>http://dx.doi.org/10.1016/j.jip.2025.108480</v>
      </c>
      <c r="Z26" t="s">
        <v>449</v>
      </c>
      <c r="AA26" t="s">
        <v>450</v>
      </c>
      <c r="AB26" t="s">
        <v>450</v>
      </c>
      <c r="AC26" t="s">
        <v>47</v>
      </c>
      <c r="AD26" t="s">
        <v>451</v>
      </c>
      <c r="AE26" t="str">
        <f>HYPERLINK("https%3A%2F%2Fwww.webofscience.com%2Fwos%2Fwoscc%2Ffull-record%2FWOS:001613724800002","View Full Record in Web of Science")</f>
        <v>View Full Record in Web of Science</v>
      </c>
      <c r="AG26" s="4" t="s">
        <v>3647</v>
      </c>
      <c r="AH26" s="4" t="s">
        <v>3694</v>
      </c>
      <c r="AI26" s="4" t="s">
        <v>3685</v>
      </c>
      <c r="AJ26">
        <v>1</v>
      </c>
      <c r="AK26" s="4" t="s">
        <v>3784</v>
      </c>
      <c r="AL26" s="4" t="s">
        <v>3735</v>
      </c>
      <c r="AM26" s="4" t="s">
        <v>3785</v>
      </c>
      <c r="AN26" s="4" t="s">
        <v>3650</v>
      </c>
      <c r="AO26" s="4" t="s">
        <v>3786</v>
      </c>
      <c r="AP26" s="4" t="s">
        <v>3706</v>
      </c>
      <c r="AQ26" s="4" t="s">
        <v>3787</v>
      </c>
      <c r="AR26" s="4">
        <v>216</v>
      </c>
      <c r="AS26" s="4" t="s">
        <v>3653</v>
      </c>
      <c r="AT26" s="5" t="s">
        <v>3788</v>
      </c>
    </row>
    <row r="27" spans="1:46" ht="20.100000000000001" customHeight="1" x14ac:dyDescent="0.2">
      <c r="A27" t="s">
        <v>453</v>
      </c>
      <c r="B27" t="s">
        <v>454</v>
      </c>
      <c r="C27" t="s">
        <v>455</v>
      </c>
      <c r="D27" t="s">
        <v>456</v>
      </c>
      <c r="E27" t="s">
        <v>457</v>
      </c>
      <c r="F27" t="s">
        <v>458</v>
      </c>
      <c r="G27" s="4" t="s">
        <v>459</v>
      </c>
      <c r="H27" t="s">
        <v>460</v>
      </c>
      <c r="I27" t="s">
        <v>194</v>
      </c>
      <c r="J27" t="s">
        <v>461</v>
      </c>
      <c r="K27" s="4" t="s">
        <v>3691</v>
      </c>
      <c r="L27" t="s">
        <v>462</v>
      </c>
      <c r="M27" t="s">
        <v>463</v>
      </c>
      <c r="N27" t="s">
        <v>464</v>
      </c>
      <c r="O27" t="s">
        <v>465</v>
      </c>
      <c r="P27">
        <v>0</v>
      </c>
      <c r="Q27" t="s">
        <v>466</v>
      </c>
      <c r="R27">
        <v>2025</v>
      </c>
      <c r="S27">
        <v>17</v>
      </c>
      <c r="T27">
        <v>21</v>
      </c>
      <c r="U27" t="s">
        <v>31</v>
      </c>
      <c r="V27" t="s">
        <v>31</v>
      </c>
      <c r="W27">
        <v>9391</v>
      </c>
      <c r="X27" t="s">
        <v>467</v>
      </c>
      <c r="Y27" t="str">
        <f>HYPERLINK("http://dx.doi.org/10.3390/su17219391","http://dx.doi.org/10.3390/su17219391")</f>
        <v>http://dx.doi.org/10.3390/su17219391</v>
      </c>
      <c r="Z27" t="s">
        <v>31</v>
      </c>
      <c r="AA27" t="s">
        <v>468</v>
      </c>
      <c r="AB27" t="s">
        <v>469</v>
      </c>
      <c r="AC27" t="s">
        <v>47</v>
      </c>
      <c r="AD27" t="s">
        <v>470</v>
      </c>
      <c r="AE27" t="str">
        <f>HYPERLINK("https%3A%2F%2Fwww.webofscience.com%2Fwos%2Fwoscc%2Ffull-record%2FWOS:001613125100001","View Full Record in Web of Science")</f>
        <v>View Full Record in Web of Science</v>
      </c>
      <c r="AG27" s="4" t="s">
        <v>3637</v>
      </c>
      <c r="AI27" s="4" t="s">
        <v>3632</v>
      </c>
      <c r="AJ27">
        <v>0</v>
      </c>
      <c r="AK27" s="4" t="s">
        <v>3789</v>
      </c>
      <c r="AL27" s="4" t="s">
        <v>3639</v>
      </c>
      <c r="AN27" s="4" t="s">
        <v>3639</v>
      </c>
      <c r="AP27" s="4" t="s">
        <v>3635</v>
      </c>
      <c r="AQ27" s="4" t="s">
        <v>3790</v>
      </c>
      <c r="AR27" s="4" t="s">
        <v>3672</v>
      </c>
      <c r="AS27" s="4" t="s">
        <v>3633</v>
      </c>
      <c r="AT27" s="4" t="s">
        <v>3791</v>
      </c>
    </row>
    <row r="28" spans="1:46" ht="20.100000000000001" customHeight="1" x14ac:dyDescent="0.2">
      <c r="A28" t="s">
        <v>471</v>
      </c>
      <c r="B28" t="s">
        <v>472</v>
      </c>
      <c r="C28" t="s">
        <v>473</v>
      </c>
      <c r="D28" t="s">
        <v>474</v>
      </c>
      <c r="E28" t="s">
        <v>475</v>
      </c>
      <c r="F28" t="s">
        <v>476</v>
      </c>
      <c r="G28" s="4" t="s">
        <v>477</v>
      </c>
      <c r="H28" t="s">
        <v>478</v>
      </c>
      <c r="I28" t="s">
        <v>479</v>
      </c>
      <c r="J28" t="s">
        <v>480</v>
      </c>
      <c r="K28" s="4" t="s">
        <v>3731</v>
      </c>
      <c r="L28" t="s">
        <v>481</v>
      </c>
      <c r="M28" t="s">
        <v>482</v>
      </c>
      <c r="N28" t="s">
        <v>483</v>
      </c>
      <c r="O28" t="s">
        <v>484</v>
      </c>
      <c r="P28">
        <v>0</v>
      </c>
      <c r="Q28" t="s">
        <v>62</v>
      </c>
      <c r="R28">
        <v>2025</v>
      </c>
      <c r="S28">
        <v>91</v>
      </c>
      <c r="T28">
        <v>6</v>
      </c>
      <c r="U28">
        <v>1315</v>
      </c>
      <c r="V28">
        <v>1326</v>
      </c>
      <c r="W28" t="s">
        <v>31</v>
      </c>
      <c r="X28" t="s">
        <v>485</v>
      </c>
      <c r="Y28" t="str">
        <f>HYPERLINK("http://dx.doi.org/10.1007/s12562-025-01924-z","http://dx.doi.org/10.1007/s12562-025-01924-z")</f>
        <v>http://dx.doi.org/10.1007/s12562-025-01924-z</v>
      </c>
      <c r="Z28" t="s">
        <v>486</v>
      </c>
      <c r="AA28" t="s">
        <v>218</v>
      </c>
      <c r="AB28" t="s">
        <v>218</v>
      </c>
      <c r="AC28" t="s">
        <v>47</v>
      </c>
      <c r="AD28" t="s">
        <v>487</v>
      </c>
      <c r="AE28" t="str">
        <f>HYPERLINK("https%3A%2F%2Fwww.webofscience.com%2Fwos%2Fwoscc%2Ffull-record%2FWOS:001584116500001","View Full Record in Web of Science")</f>
        <v>View Full Record in Web of Science</v>
      </c>
      <c r="AG28" s="4" t="s">
        <v>3658</v>
      </c>
      <c r="AH28" s="4" t="s">
        <v>3637</v>
      </c>
      <c r="AI28" s="4" t="s">
        <v>3700</v>
      </c>
      <c r="AJ28">
        <v>1</v>
      </c>
      <c r="AK28" s="4" t="s">
        <v>3792</v>
      </c>
      <c r="AL28" s="4" t="s">
        <v>3639</v>
      </c>
      <c r="AN28" s="4" t="s">
        <v>3639</v>
      </c>
      <c r="AO28" s="2" t="s">
        <v>3976</v>
      </c>
      <c r="AP28" s="4" t="s">
        <v>3635</v>
      </c>
      <c r="AQ28" s="4" t="s">
        <v>3793</v>
      </c>
      <c r="AR28" s="4">
        <v>48</v>
      </c>
      <c r="AS28" s="4" t="s">
        <v>3633</v>
      </c>
      <c r="AT28" s="4" t="s">
        <v>3794</v>
      </c>
    </row>
    <row r="29" spans="1:46" ht="20.100000000000001" customHeight="1" x14ac:dyDescent="0.2">
      <c r="A29" t="s">
        <v>488</v>
      </c>
      <c r="B29" t="s">
        <v>489</v>
      </c>
      <c r="C29" t="s">
        <v>490</v>
      </c>
      <c r="D29" t="s">
        <v>34</v>
      </c>
      <c r="E29" t="s">
        <v>491</v>
      </c>
      <c r="F29" t="s">
        <v>492</v>
      </c>
      <c r="G29" s="4" t="s">
        <v>493</v>
      </c>
      <c r="H29" t="s">
        <v>494</v>
      </c>
      <c r="I29" t="s">
        <v>495</v>
      </c>
      <c r="J29" t="s">
        <v>496</v>
      </c>
      <c r="K29" s="4" t="s">
        <v>3664</v>
      </c>
      <c r="L29" t="s">
        <v>497</v>
      </c>
      <c r="M29" t="s">
        <v>498</v>
      </c>
      <c r="N29" t="s">
        <v>499</v>
      </c>
      <c r="O29" t="s">
        <v>500</v>
      </c>
      <c r="P29">
        <v>0</v>
      </c>
      <c r="Q29" t="s">
        <v>269</v>
      </c>
      <c r="R29">
        <v>2026</v>
      </c>
      <c r="S29">
        <v>181</v>
      </c>
      <c r="T29" t="s">
        <v>31</v>
      </c>
      <c r="U29" t="s">
        <v>31</v>
      </c>
      <c r="V29" t="s">
        <v>31</v>
      </c>
      <c r="W29">
        <v>111682</v>
      </c>
      <c r="X29" t="s">
        <v>501</v>
      </c>
      <c r="Y29" t="str">
        <f>HYPERLINK("http://dx.doi.org/10.1016/j.foodcont.2025.111682","http://dx.doi.org/10.1016/j.foodcont.2025.111682")</f>
        <v>http://dx.doi.org/10.1016/j.foodcont.2025.111682</v>
      </c>
      <c r="Z29" t="s">
        <v>486</v>
      </c>
      <c r="AA29" t="s">
        <v>46</v>
      </c>
      <c r="AB29" t="s">
        <v>46</v>
      </c>
      <c r="AC29" t="s">
        <v>47</v>
      </c>
      <c r="AD29" t="s">
        <v>502</v>
      </c>
      <c r="AE29" t="str">
        <f>HYPERLINK("https%3A%2F%2Fwww.webofscience.com%2Fwos%2Fwoscc%2Ffull-record%2FWOS:001586860500001","View Full Record in Web of Science")</f>
        <v>View Full Record in Web of Science</v>
      </c>
      <c r="AG29" s="4" t="s">
        <v>3637</v>
      </c>
      <c r="AI29" s="4" t="s">
        <v>3632</v>
      </c>
      <c r="AJ29">
        <v>0</v>
      </c>
      <c r="AK29" s="4" t="s">
        <v>3795</v>
      </c>
      <c r="AL29" s="4" t="s">
        <v>3639</v>
      </c>
      <c r="AN29" s="4" t="s">
        <v>3639</v>
      </c>
      <c r="AP29" s="4" t="s">
        <v>3651</v>
      </c>
      <c r="AQ29" s="4" t="s">
        <v>3796</v>
      </c>
      <c r="AR29" s="4">
        <v>450</v>
      </c>
      <c r="AS29" s="4" t="s">
        <v>3653</v>
      </c>
      <c r="AT29" s="4" t="s">
        <v>3797</v>
      </c>
    </row>
    <row r="30" spans="1:46" ht="20.100000000000001" customHeight="1" x14ac:dyDescent="0.2">
      <c r="A30" t="s">
        <v>505</v>
      </c>
      <c r="B30" t="s">
        <v>506</v>
      </c>
      <c r="C30" t="s">
        <v>507</v>
      </c>
      <c r="D30" t="s">
        <v>223</v>
      </c>
      <c r="E30" t="s">
        <v>508</v>
      </c>
      <c r="F30" t="s">
        <v>509</v>
      </c>
      <c r="G30" s="4" t="s">
        <v>510</v>
      </c>
      <c r="H30" t="s">
        <v>511</v>
      </c>
      <c r="I30" t="s">
        <v>512</v>
      </c>
      <c r="J30" t="s">
        <v>513</v>
      </c>
      <c r="K30" s="4" t="s">
        <v>3718</v>
      </c>
      <c r="L30" t="s">
        <v>514</v>
      </c>
      <c r="M30" t="s">
        <v>515</v>
      </c>
      <c r="N30" t="s">
        <v>516</v>
      </c>
      <c r="O30" t="s">
        <v>517</v>
      </c>
      <c r="P30">
        <v>2</v>
      </c>
      <c r="Q30" t="s">
        <v>518</v>
      </c>
      <c r="R30">
        <v>2025</v>
      </c>
      <c r="S30">
        <v>15</v>
      </c>
      <c r="T30">
        <v>1</v>
      </c>
      <c r="U30" t="s">
        <v>31</v>
      </c>
      <c r="V30" t="s">
        <v>31</v>
      </c>
      <c r="W30">
        <v>31875</v>
      </c>
      <c r="X30" t="s">
        <v>519</v>
      </c>
      <c r="Y30" t="str">
        <f>HYPERLINK("http://dx.doi.org/10.1038/s41598-025-10674-y","http://dx.doi.org/10.1038/s41598-025-10674-y")</f>
        <v>http://dx.doi.org/10.1038/s41598-025-10674-y</v>
      </c>
      <c r="Z30" t="s">
        <v>31</v>
      </c>
      <c r="AA30" t="s">
        <v>101</v>
      </c>
      <c r="AB30" t="s">
        <v>102</v>
      </c>
      <c r="AC30" t="s">
        <v>47</v>
      </c>
      <c r="AD30" t="s">
        <v>520</v>
      </c>
      <c r="AE30" t="str">
        <f>HYPERLINK("https%3A%2F%2Fwww.webofscience.com%2Fwos%2Fwoscc%2Ffull-record%2FWOS:001570809600007","View Full Record in Web of Science")</f>
        <v>View Full Record in Web of Science</v>
      </c>
      <c r="AG30" s="4" t="s">
        <v>3876</v>
      </c>
      <c r="AH30" s="4" t="s">
        <v>3647</v>
      </c>
      <c r="AI30" s="4" t="s">
        <v>3719</v>
      </c>
      <c r="AJ30">
        <v>2</v>
      </c>
      <c r="AK30" s="4" t="s">
        <v>3799</v>
      </c>
      <c r="AL30" s="4" t="s">
        <v>3650</v>
      </c>
      <c r="AM30" s="8" t="s">
        <v>3800</v>
      </c>
      <c r="AN30" s="4" t="s">
        <v>3639</v>
      </c>
      <c r="AO30" s="8" t="s">
        <v>3801</v>
      </c>
      <c r="AP30" s="4" t="s">
        <v>3802</v>
      </c>
      <c r="AQ30" s="4" t="s">
        <v>3803</v>
      </c>
      <c r="AR30" s="4">
        <v>25</v>
      </c>
      <c r="AS30" s="4" t="s">
        <v>3708</v>
      </c>
      <c r="AT30" s="4" t="s">
        <v>3804</v>
      </c>
    </row>
    <row r="31" spans="1:46" ht="20.100000000000001" customHeight="1" x14ac:dyDescent="0.2">
      <c r="A31" t="s">
        <v>521</v>
      </c>
      <c r="B31" t="s">
        <v>522</v>
      </c>
      <c r="C31" t="s">
        <v>523</v>
      </c>
      <c r="D31" t="s">
        <v>524</v>
      </c>
      <c r="E31" t="s">
        <v>525</v>
      </c>
      <c r="F31" t="s">
        <v>526</v>
      </c>
      <c r="G31" s="4" t="s">
        <v>527</v>
      </c>
      <c r="H31" t="s">
        <v>528</v>
      </c>
      <c r="I31" t="s">
        <v>529</v>
      </c>
      <c r="J31" t="s">
        <v>530</v>
      </c>
      <c r="K31" s="4" t="s">
        <v>3730</v>
      </c>
      <c r="L31" t="s">
        <v>531</v>
      </c>
      <c r="M31" t="s">
        <v>532</v>
      </c>
      <c r="N31" t="s">
        <v>533</v>
      </c>
      <c r="O31" t="s">
        <v>534</v>
      </c>
      <c r="P31">
        <v>0</v>
      </c>
      <c r="Q31" t="s">
        <v>535</v>
      </c>
      <c r="R31">
        <v>2025</v>
      </c>
      <c r="S31">
        <v>10</v>
      </c>
      <c r="T31">
        <v>9</v>
      </c>
      <c r="U31" t="s">
        <v>31</v>
      </c>
      <c r="V31" t="s">
        <v>31</v>
      </c>
      <c r="W31">
        <v>428</v>
      </c>
      <c r="X31" t="s">
        <v>536</v>
      </c>
      <c r="Y31" t="str">
        <f>HYPERLINK("http://dx.doi.org/10.3390/fishes10090428","http://dx.doi.org/10.3390/fishes10090428")</f>
        <v>http://dx.doi.org/10.3390/fishes10090428</v>
      </c>
      <c r="Z31" t="s">
        <v>31</v>
      </c>
      <c r="AA31" t="s">
        <v>537</v>
      </c>
      <c r="AB31" t="s">
        <v>537</v>
      </c>
      <c r="AC31" t="s">
        <v>47</v>
      </c>
      <c r="AD31" t="s">
        <v>538</v>
      </c>
      <c r="AE31" t="str">
        <f>HYPERLINK("https%3A%2F%2Fwww.webofscience.com%2Fwos%2Fwoscc%2Ffull-record%2FWOS:001580857500001","View Full Record in Web of Science")</f>
        <v>View Full Record in Web of Science</v>
      </c>
      <c r="AG31" s="4" t="s">
        <v>3694</v>
      </c>
      <c r="AH31" s="4" t="s">
        <v>3647</v>
      </c>
      <c r="AI31" s="4" t="s">
        <v>3648</v>
      </c>
      <c r="AJ31">
        <v>1</v>
      </c>
      <c r="AK31" s="4" t="s">
        <v>3805</v>
      </c>
      <c r="AL31" s="4" t="s">
        <v>3650</v>
      </c>
      <c r="AM31" s="4" t="s">
        <v>3806</v>
      </c>
      <c r="AN31" s="4" t="s">
        <v>3650</v>
      </c>
      <c r="AO31" s="4" t="s">
        <v>3807</v>
      </c>
      <c r="AP31" s="4" t="s">
        <v>3706</v>
      </c>
      <c r="AQ31" s="4" t="s">
        <v>3808</v>
      </c>
      <c r="AR31" s="4">
        <v>216</v>
      </c>
      <c r="AS31" s="4" t="s">
        <v>3653</v>
      </c>
      <c r="AT31" s="4" t="s">
        <v>3809</v>
      </c>
    </row>
    <row r="32" spans="1:46" ht="20.100000000000001" customHeight="1" x14ac:dyDescent="0.2">
      <c r="A32" t="s">
        <v>539</v>
      </c>
      <c r="B32" t="s">
        <v>540</v>
      </c>
      <c r="C32" t="s">
        <v>541</v>
      </c>
      <c r="D32" t="s">
        <v>542</v>
      </c>
      <c r="E32" t="s">
        <v>543</v>
      </c>
      <c r="F32" t="s">
        <v>544</v>
      </c>
      <c r="G32" s="4" t="s">
        <v>545</v>
      </c>
      <c r="H32" t="s">
        <v>546</v>
      </c>
      <c r="I32" t="s">
        <v>547</v>
      </c>
      <c r="J32" t="s">
        <v>548</v>
      </c>
      <c r="K32" s="4" t="s">
        <v>3691</v>
      </c>
      <c r="L32" t="s">
        <v>549</v>
      </c>
      <c r="M32" t="s">
        <v>550</v>
      </c>
      <c r="N32" t="s">
        <v>551</v>
      </c>
      <c r="O32" t="s">
        <v>552</v>
      </c>
      <c r="P32">
        <v>2</v>
      </c>
      <c r="Q32" t="s">
        <v>535</v>
      </c>
      <c r="R32">
        <v>2025</v>
      </c>
      <c r="S32">
        <v>12</v>
      </c>
      <c r="T32" t="s">
        <v>31</v>
      </c>
      <c r="U32" t="s">
        <v>31</v>
      </c>
      <c r="V32" t="s">
        <v>31</v>
      </c>
      <c r="W32">
        <v>1629293</v>
      </c>
      <c r="X32" t="s">
        <v>553</v>
      </c>
      <c r="Y32" t="str">
        <f>HYPERLINK("http://dx.doi.org/10.3389/fmars.2025.1629293","http://dx.doi.org/10.3389/fmars.2025.1629293")</f>
        <v>http://dx.doi.org/10.3389/fmars.2025.1629293</v>
      </c>
      <c r="Z32" t="s">
        <v>31</v>
      </c>
      <c r="AA32" t="s">
        <v>554</v>
      </c>
      <c r="AB32" t="s">
        <v>555</v>
      </c>
      <c r="AC32" t="s">
        <v>47</v>
      </c>
      <c r="AD32" t="s">
        <v>556</v>
      </c>
      <c r="AE32" t="str">
        <f>HYPERLINK("https%3A%2F%2Fwww.webofscience.com%2Fwos%2Fwoscc%2Ffull-record%2FWOS:001571072900001","View Full Record in Web of Science")</f>
        <v>View Full Record in Web of Science</v>
      </c>
      <c r="AG32" s="4" t="s">
        <v>3694</v>
      </c>
      <c r="AH32" s="4" t="s">
        <v>3647</v>
      </c>
      <c r="AI32" s="4" t="s">
        <v>3685</v>
      </c>
      <c r="AJ32">
        <v>0</v>
      </c>
      <c r="AK32" s="4" t="s">
        <v>3810</v>
      </c>
      <c r="AL32" s="4" t="s">
        <v>3650</v>
      </c>
      <c r="AM32" s="4" t="s">
        <v>3811</v>
      </c>
      <c r="AN32" s="4" t="s">
        <v>3650</v>
      </c>
      <c r="AO32" s="4" t="s">
        <v>3812</v>
      </c>
      <c r="AP32" s="4" t="s">
        <v>3696</v>
      </c>
      <c r="AQ32" s="4" t="s">
        <v>3813</v>
      </c>
      <c r="AR32" s="11" t="s">
        <v>3824</v>
      </c>
      <c r="AS32" s="4" t="s">
        <v>3653</v>
      </c>
      <c r="AT32" s="4" t="s">
        <v>3814</v>
      </c>
    </row>
    <row r="33" spans="1:46" ht="20.100000000000001" customHeight="1" x14ac:dyDescent="0.2">
      <c r="A33" t="s">
        <v>557</v>
      </c>
      <c r="B33" t="s">
        <v>558</v>
      </c>
      <c r="C33" t="s">
        <v>559</v>
      </c>
      <c r="D33" t="s">
        <v>560</v>
      </c>
      <c r="E33" t="s">
        <v>561</v>
      </c>
      <c r="F33" t="s">
        <v>562</v>
      </c>
      <c r="G33" s="4" t="s">
        <v>563</v>
      </c>
      <c r="H33" t="s">
        <v>564</v>
      </c>
      <c r="I33" t="s">
        <v>565</v>
      </c>
      <c r="J33" t="s">
        <v>566</v>
      </c>
      <c r="K33" s="4" t="s">
        <v>3732</v>
      </c>
      <c r="L33" t="s">
        <v>567</v>
      </c>
      <c r="M33" t="s">
        <v>568</v>
      </c>
      <c r="N33" t="s">
        <v>568</v>
      </c>
      <c r="O33" t="s">
        <v>569</v>
      </c>
      <c r="P33">
        <v>1</v>
      </c>
      <c r="Q33" t="s">
        <v>570</v>
      </c>
      <c r="R33">
        <v>2025</v>
      </c>
      <c r="S33">
        <v>33</v>
      </c>
      <c r="T33">
        <v>6</v>
      </c>
      <c r="U33" t="s">
        <v>31</v>
      </c>
      <c r="V33" t="s">
        <v>31</v>
      </c>
      <c r="W33">
        <v>503</v>
      </c>
      <c r="X33" t="s">
        <v>571</v>
      </c>
      <c r="Y33" t="str">
        <f>HYPERLINK("http://dx.doi.org/10.1007/s10499-025-02194-3","http://dx.doi.org/10.1007/s10499-025-02194-3")</f>
        <v>http://dx.doi.org/10.1007/s10499-025-02194-3</v>
      </c>
      <c r="Z33" t="s">
        <v>31</v>
      </c>
      <c r="AA33" t="s">
        <v>218</v>
      </c>
      <c r="AB33" t="s">
        <v>218</v>
      </c>
      <c r="AC33" t="s">
        <v>47</v>
      </c>
      <c r="AD33" t="s">
        <v>572</v>
      </c>
      <c r="AE33" t="str">
        <f>HYPERLINK("https%3A%2F%2Fwww.webofscience.com%2Fwos%2Fwoscc%2Ffull-record%2FWOS:001552801100001","View Full Record in Web of Science")</f>
        <v>View Full Record in Web of Science</v>
      </c>
      <c r="AG33" s="4" t="s">
        <v>3694</v>
      </c>
      <c r="AH33" s="4" t="s">
        <v>3647</v>
      </c>
      <c r="AI33" s="4" t="s">
        <v>3648</v>
      </c>
      <c r="AJ33">
        <v>1</v>
      </c>
      <c r="AK33" s="4" t="s">
        <v>3815</v>
      </c>
      <c r="AL33" s="4" t="s">
        <v>3735</v>
      </c>
      <c r="AM33" s="8" t="s">
        <v>3816</v>
      </c>
      <c r="AN33" s="4" t="s">
        <v>3650</v>
      </c>
      <c r="AO33" s="4" t="s">
        <v>3817</v>
      </c>
      <c r="AP33" s="4" t="s">
        <v>3696</v>
      </c>
      <c r="AQ33" s="4" t="s">
        <v>3818</v>
      </c>
      <c r="AR33" s="4" t="s">
        <v>3819</v>
      </c>
      <c r="AS33" s="4" t="s">
        <v>3653</v>
      </c>
      <c r="AT33" s="4" t="s">
        <v>3820</v>
      </c>
    </row>
    <row r="34" spans="1:46" ht="20.100000000000001" customHeight="1" x14ac:dyDescent="0.2">
      <c r="A34" t="s">
        <v>573</v>
      </c>
      <c r="B34" t="s">
        <v>574</v>
      </c>
      <c r="C34" t="s">
        <v>575</v>
      </c>
      <c r="D34" t="s">
        <v>576</v>
      </c>
      <c r="E34" t="s">
        <v>577</v>
      </c>
      <c r="F34" t="s">
        <v>578</v>
      </c>
      <c r="G34" s="4" t="s">
        <v>579</v>
      </c>
      <c r="H34" t="s">
        <v>580</v>
      </c>
      <c r="I34" t="s">
        <v>479</v>
      </c>
      <c r="J34" t="s">
        <v>581</v>
      </c>
      <c r="K34" s="4" t="s">
        <v>3731</v>
      </c>
      <c r="L34" t="s">
        <v>582</v>
      </c>
      <c r="M34" t="s">
        <v>583</v>
      </c>
      <c r="N34" t="s">
        <v>583</v>
      </c>
      <c r="O34" t="s">
        <v>584</v>
      </c>
      <c r="P34">
        <v>2</v>
      </c>
      <c r="Q34" t="s">
        <v>269</v>
      </c>
      <c r="R34">
        <v>2026</v>
      </c>
      <c r="S34">
        <v>35</v>
      </c>
      <c r="T34">
        <v>2</v>
      </c>
      <c r="U34">
        <v>189</v>
      </c>
      <c r="V34">
        <v>198</v>
      </c>
      <c r="W34" t="s">
        <v>31</v>
      </c>
      <c r="X34" t="s">
        <v>585</v>
      </c>
      <c r="Y34" t="str">
        <f>HYPERLINK("http://dx.doi.org/10.1111/fog.70007","http://dx.doi.org/10.1111/fog.70007")</f>
        <v>http://dx.doi.org/10.1111/fog.70007</v>
      </c>
      <c r="Z34" t="s">
        <v>586</v>
      </c>
      <c r="AA34" t="s">
        <v>587</v>
      </c>
      <c r="AB34" t="s">
        <v>587</v>
      </c>
      <c r="AC34" t="s">
        <v>47</v>
      </c>
      <c r="AD34" t="s">
        <v>588</v>
      </c>
      <c r="AE34" t="str">
        <f>HYPERLINK("https%3A%2F%2Fwww.webofscience.com%2Fwos%2Fwoscc%2Ffull-record%2FWOS:001547825400001","View Full Record in Web of Science")</f>
        <v>View Full Record in Web of Science</v>
      </c>
      <c r="AG34" s="4" t="s">
        <v>3656</v>
      </c>
      <c r="AH34" s="4" t="s">
        <v>3658</v>
      </c>
      <c r="AI34" s="4" t="s">
        <v>3700</v>
      </c>
      <c r="AJ34">
        <v>0</v>
      </c>
      <c r="AK34" s="4" t="s">
        <v>3821</v>
      </c>
      <c r="AL34" s="4" t="s">
        <v>3639</v>
      </c>
      <c r="AM34" s="8"/>
      <c r="AN34" s="4" t="s">
        <v>3639</v>
      </c>
      <c r="AO34" s="4" t="s">
        <v>3977</v>
      </c>
      <c r="AP34" s="4" t="s">
        <v>3651</v>
      </c>
      <c r="AQ34" s="4" t="s">
        <v>3822</v>
      </c>
      <c r="AR34" s="4" t="s">
        <v>3823</v>
      </c>
      <c r="AS34" s="4" t="s">
        <v>3653</v>
      </c>
      <c r="AT34" s="4" t="s">
        <v>3825</v>
      </c>
    </row>
    <row r="35" spans="1:46" ht="20.100000000000001" customHeight="1" x14ac:dyDescent="0.2">
      <c r="A35" t="s">
        <v>589</v>
      </c>
      <c r="B35" t="s">
        <v>590</v>
      </c>
      <c r="C35" t="s">
        <v>591</v>
      </c>
      <c r="D35" t="s">
        <v>592</v>
      </c>
      <c r="E35" t="s">
        <v>31</v>
      </c>
      <c r="F35" t="s">
        <v>593</v>
      </c>
      <c r="G35" s="4" t="s">
        <v>594</v>
      </c>
      <c r="H35" t="s">
        <v>595</v>
      </c>
      <c r="I35" t="s">
        <v>596</v>
      </c>
      <c r="J35" t="s">
        <v>597</v>
      </c>
      <c r="K35" s="4" t="s">
        <v>3664</v>
      </c>
      <c r="L35" t="s">
        <v>598</v>
      </c>
      <c r="M35" t="s">
        <v>599</v>
      </c>
      <c r="N35" t="s">
        <v>600</v>
      </c>
      <c r="O35" t="s">
        <v>601</v>
      </c>
      <c r="P35">
        <v>0</v>
      </c>
      <c r="Q35" t="s">
        <v>602</v>
      </c>
      <c r="R35">
        <v>2025</v>
      </c>
      <c r="S35">
        <v>9</v>
      </c>
      <c r="T35">
        <v>1</v>
      </c>
      <c r="U35" t="s">
        <v>31</v>
      </c>
      <c r="V35" t="s">
        <v>31</v>
      </c>
      <c r="W35">
        <v>173</v>
      </c>
      <c r="X35" t="s">
        <v>603</v>
      </c>
      <c r="Y35" t="str">
        <f>HYPERLINK("http://dx.doi.org/10.1038/s41538-025-00520-w","http://dx.doi.org/10.1038/s41538-025-00520-w")</f>
        <v>http://dx.doi.org/10.1038/s41538-025-00520-w</v>
      </c>
      <c r="Z35" t="s">
        <v>31</v>
      </c>
      <c r="AA35" t="s">
        <v>46</v>
      </c>
      <c r="AB35" t="s">
        <v>46</v>
      </c>
      <c r="AC35" t="s">
        <v>47</v>
      </c>
      <c r="AD35" t="s">
        <v>604</v>
      </c>
      <c r="AE35" t="str">
        <f>HYPERLINK("https%3A%2F%2Fwww.webofscience.com%2Fwos%2Fwoscc%2Ffull-record%2FWOS:001546113500001","View Full Record in Web of Science")</f>
        <v>View Full Record in Web of Science</v>
      </c>
      <c r="AG35" s="4" t="s">
        <v>3637</v>
      </c>
      <c r="AI35" s="4" t="s">
        <v>3632</v>
      </c>
      <c r="AJ35">
        <v>0</v>
      </c>
      <c r="AK35" s="4" t="s">
        <v>3826</v>
      </c>
      <c r="AL35" s="4" t="s">
        <v>3735</v>
      </c>
      <c r="AM35" s="4" t="s">
        <v>3827</v>
      </c>
      <c r="AN35" s="4" t="s">
        <v>3639</v>
      </c>
      <c r="AO35" s="4" t="s">
        <v>3828</v>
      </c>
      <c r="AP35" s="4" t="s">
        <v>3635</v>
      </c>
      <c r="AQ35" s="4" t="s">
        <v>3829</v>
      </c>
      <c r="AR35">
        <v>30</v>
      </c>
      <c r="AS35" s="4" t="s">
        <v>3633</v>
      </c>
      <c r="AT35" s="4" t="s">
        <v>3830</v>
      </c>
    </row>
    <row r="36" spans="1:46" ht="20.100000000000001" customHeight="1" x14ac:dyDescent="0.2">
      <c r="A36" t="s">
        <v>605</v>
      </c>
      <c r="B36" t="s">
        <v>606</v>
      </c>
      <c r="C36" t="s">
        <v>607</v>
      </c>
      <c r="D36" t="s">
        <v>608</v>
      </c>
      <c r="E36" t="s">
        <v>609</v>
      </c>
      <c r="F36" t="s">
        <v>610</v>
      </c>
      <c r="G36" s="4" t="s">
        <v>611</v>
      </c>
      <c r="H36" t="s">
        <v>612</v>
      </c>
      <c r="I36" t="s">
        <v>613</v>
      </c>
      <c r="J36" t="s">
        <v>614</v>
      </c>
      <c r="K36" s="4" t="s">
        <v>3663</v>
      </c>
      <c r="L36" t="s">
        <v>615</v>
      </c>
      <c r="M36" t="s">
        <v>616</v>
      </c>
      <c r="N36" t="s">
        <v>617</v>
      </c>
      <c r="O36" t="s">
        <v>618</v>
      </c>
      <c r="P36">
        <v>0</v>
      </c>
      <c r="Q36" t="s">
        <v>79</v>
      </c>
      <c r="R36">
        <v>2025</v>
      </c>
      <c r="S36">
        <v>44</v>
      </c>
      <c r="T36">
        <v>2</v>
      </c>
      <c r="U36">
        <v>299</v>
      </c>
      <c r="V36">
        <v>308</v>
      </c>
      <c r="W36" t="s">
        <v>31</v>
      </c>
      <c r="X36" t="s">
        <v>619</v>
      </c>
      <c r="Y36" t="str">
        <f>HYPERLINK("http://dx.doi.org/10.2983/035.044.0213","http://dx.doi.org/10.2983/035.044.0213")</f>
        <v>http://dx.doi.org/10.2983/035.044.0213</v>
      </c>
      <c r="Z36" t="s">
        <v>31</v>
      </c>
      <c r="AA36" t="s">
        <v>537</v>
      </c>
      <c r="AB36" t="s">
        <v>537</v>
      </c>
      <c r="AC36" t="s">
        <v>47</v>
      </c>
      <c r="AD36" t="s">
        <v>620</v>
      </c>
      <c r="AE36" t="str">
        <f>HYPERLINK("https%3A%2F%2Fwww.webofscience.com%2Fwos%2Fwoscc%2Ffull-record%2FWOS:001553966600013","View Full Record in Web of Science")</f>
        <v>View Full Record in Web of Science</v>
      </c>
      <c r="AG36" s="4" t="s">
        <v>3637</v>
      </c>
      <c r="AH36" s="4" t="s">
        <v>3658</v>
      </c>
      <c r="AI36" s="4" t="s">
        <v>3700</v>
      </c>
      <c r="AJ36">
        <v>0</v>
      </c>
      <c r="AK36" s="4" t="s">
        <v>3831</v>
      </c>
      <c r="AL36" s="4" t="s">
        <v>3639</v>
      </c>
      <c r="AM36" s="7"/>
      <c r="AN36" s="4" t="s">
        <v>3639</v>
      </c>
      <c r="AO36" s="4" t="s">
        <v>3832</v>
      </c>
      <c r="AP36" s="4" t="s">
        <v>3635</v>
      </c>
      <c r="AQ36" s="4" t="s">
        <v>3833</v>
      </c>
      <c r="AR36">
        <v>407</v>
      </c>
      <c r="AS36" s="4" t="s">
        <v>3633</v>
      </c>
      <c r="AT36" s="4" t="s">
        <v>3834</v>
      </c>
    </row>
    <row r="37" spans="1:46" ht="20.100000000000001" customHeight="1" x14ac:dyDescent="0.2">
      <c r="A37" t="s">
        <v>621</v>
      </c>
      <c r="B37" t="s">
        <v>622</v>
      </c>
      <c r="C37" t="s">
        <v>623</v>
      </c>
      <c r="D37" t="s">
        <v>624</v>
      </c>
      <c r="E37" t="s">
        <v>625</v>
      </c>
      <c r="F37" t="s">
        <v>626</v>
      </c>
      <c r="G37" s="4" t="s">
        <v>627</v>
      </c>
      <c r="H37" t="s">
        <v>628</v>
      </c>
      <c r="I37" t="s">
        <v>629</v>
      </c>
      <c r="J37" t="s">
        <v>630</v>
      </c>
      <c r="K37" s="4" t="s">
        <v>3691</v>
      </c>
      <c r="L37" t="s">
        <v>631</v>
      </c>
      <c r="M37" t="s">
        <v>632</v>
      </c>
      <c r="N37" t="s">
        <v>633</v>
      </c>
      <c r="O37" t="s">
        <v>634</v>
      </c>
      <c r="P37">
        <v>1</v>
      </c>
      <c r="Q37" t="s">
        <v>635</v>
      </c>
      <c r="R37">
        <v>2025</v>
      </c>
      <c r="S37">
        <v>43</v>
      </c>
      <c r="T37" t="s">
        <v>31</v>
      </c>
      <c r="U37" t="s">
        <v>31</v>
      </c>
      <c r="V37" t="s">
        <v>31</v>
      </c>
      <c r="W37">
        <v>103025</v>
      </c>
      <c r="X37" t="s">
        <v>636</v>
      </c>
      <c r="Y37" t="str">
        <f>HYPERLINK("http://dx.doi.org/10.1016/j.aqrep.2025.103025","http://dx.doi.org/10.1016/j.aqrep.2025.103025")</f>
        <v>http://dx.doi.org/10.1016/j.aqrep.2025.103025</v>
      </c>
      <c r="Z37" t="s">
        <v>637</v>
      </c>
      <c r="AA37" t="s">
        <v>218</v>
      </c>
      <c r="AB37" t="s">
        <v>218</v>
      </c>
      <c r="AC37" t="s">
        <v>47</v>
      </c>
      <c r="AD37" t="s">
        <v>638</v>
      </c>
      <c r="AE37" t="str">
        <f>HYPERLINK("https%3A%2F%2Fwww.webofscience.com%2Fwos%2Fwoscc%2Ffull-record%2FWOS:001542890500001","View Full Record in Web of Science")</f>
        <v>View Full Record in Web of Science</v>
      </c>
      <c r="AG37" s="4" t="s">
        <v>3694</v>
      </c>
      <c r="AH37" s="4" t="s">
        <v>3658</v>
      </c>
      <c r="AI37" s="4" t="s">
        <v>3700</v>
      </c>
      <c r="AJ37">
        <v>1</v>
      </c>
      <c r="AK37" s="4" t="s">
        <v>3835</v>
      </c>
      <c r="AL37" s="4" t="s">
        <v>3639</v>
      </c>
      <c r="AN37" s="4" t="s">
        <v>3650</v>
      </c>
      <c r="AO37" s="4" t="s">
        <v>3836</v>
      </c>
      <c r="AP37" s="4" t="s">
        <v>3696</v>
      </c>
      <c r="AQ37" s="4" t="s">
        <v>3837</v>
      </c>
      <c r="AR37" s="4" t="s">
        <v>3838</v>
      </c>
      <c r="AS37" s="4" t="s">
        <v>3653</v>
      </c>
      <c r="AT37" s="4" t="s">
        <v>3839</v>
      </c>
    </row>
    <row r="38" spans="1:46" ht="20.100000000000001" customHeight="1" x14ac:dyDescent="0.2">
      <c r="A38" t="s">
        <v>639</v>
      </c>
      <c r="B38" t="s">
        <v>640</v>
      </c>
      <c r="C38" t="s">
        <v>641</v>
      </c>
      <c r="D38" t="s">
        <v>642</v>
      </c>
      <c r="E38" t="s">
        <v>643</v>
      </c>
      <c r="F38" t="s">
        <v>644</v>
      </c>
      <c r="G38" s="4" t="s">
        <v>645</v>
      </c>
      <c r="H38" t="s">
        <v>646</v>
      </c>
      <c r="I38" t="s">
        <v>647</v>
      </c>
      <c r="J38" t="s">
        <v>648</v>
      </c>
      <c r="K38" s="4" t="s">
        <v>3664</v>
      </c>
      <c r="L38" t="s">
        <v>31</v>
      </c>
      <c r="M38" t="s">
        <v>649</v>
      </c>
      <c r="N38" t="s">
        <v>650</v>
      </c>
      <c r="O38" t="s">
        <v>651</v>
      </c>
      <c r="P38">
        <v>0</v>
      </c>
      <c r="Q38" t="s">
        <v>652</v>
      </c>
      <c r="R38">
        <v>2025</v>
      </c>
      <c r="S38">
        <v>15</v>
      </c>
      <c r="T38">
        <v>15</v>
      </c>
      <c r="U38" t="s">
        <v>31</v>
      </c>
      <c r="V38" t="s">
        <v>31</v>
      </c>
      <c r="W38">
        <v>8235</v>
      </c>
      <c r="X38" t="s">
        <v>653</v>
      </c>
      <c r="Y38" t="str">
        <f>HYPERLINK("http://dx.doi.org/10.3390/app15158235","http://dx.doi.org/10.3390/app15158235")</f>
        <v>http://dx.doi.org/10.3390/app15158235</v>
      </c>
      <c r="Z38" t="s">
        <v>31</v>
      </c>
      <c r="AA38" t="s">
        <v>654</v>
      </c>
      <c r="AB38" t="s">
        <v>655</v>
      </c>
      <c r="AC38" t="s">
        <v>47</v>
      </c>
      <c r="AD38" t="s">
        <v>656</v>
      </c>
      <c r="AE38" t="str">
        <f>HYPERLINK("https%3A%2F%2Fwww.webofscience.com%2Fwos%2Fwoscc%2Ffull-record%2FWOS:001549013900001","View Full Record in Web of Science")</f>
        <v>View Full Record in Web of Science</v>
      </c>
      <c r="AG38" s="4" t="s">
        <v>3637</v>
      </c>
      <c r="AI38" s="4" t="s">
        <v>3632</v>
      </c>
      <c r="AJ38">
        <v>0</v>
      </c>
      <c r="AK38" s="4" t="s">
        <v>3840</v>
      </c>
      <c r="AL38" s="4" t="s">
        <v>3639</v>
      </c>
      <c r="AN38" s="4" t="s">
        <v>3639</v>
      </c>
      <c r="AO38" s="4" t="s">
        <v>3843</v>
      </c>
      <c r="AP38" s="4" t="s">
        <v>3635</v>
      </c>
      <c r="AQ38" s="4" t="s">
        <v>3844</v>
      </c>
      <c r="AR38" s="4" t="s">
        <v>3842</v>
      </c>
      <c r="AS38" s="4" t="s">
        <v>3633</v>
      </c>
      <c r="AT38" s="4" t="s">
        <v>3841</v>
      </c>
    </row>
    <row r="39" spans="1:46" ht="20.100000000000001" customHeight="1" x14ac:dyDescent="0.2">
      <c r="A39" t="s">
        <v>657</v>
      </c>
      <c r="B39" t="s">
        <v>658</v>
      </c>
      <c r="C39" t="s">
        <v>659</v>
      </c>
      <c r="D39" t="s">
        <v>207</v>
      </c>
      <c r="E39" t="s">
        <v>660</v>
      </c>
      <c r="F39" t="s">
        <v>661</v>
      </c>
      <c r="G39" s="4" t="s">
        <v>662</v>
      </c>
      <c r="H39" t="s">
        <v>663</v>
      </c>
      <c r="I39" t="s">
        <v>31</v>
      </c>
      <c r="J39" t="s">
        <v>664</v>
      </c>
      <c r="K39" s="4" t="s">
        <v>3691</v>
      </c>
      <c r="L39" t="s">
        <v>665</v>
      </c>
      <c r="M39" t="s">
        <v>666</v>
      </c>
      <c r="N39" t="s">
        <v>667</v>
      </c>
      <c r="O39" t="s">
        <v>668</v>
      </c>
      <c r="P39">
        <v>0</v>
      </c>
      <c r="Q39" t="s">
        <v>79</v>
      </c>
      <c r="R39">
        <v>2025</v>
      </c>
      <c r="S39">
        <v>288</v>
      </c>
      <c r="T39" t="s">
        <v>31</v>
      </c>
      <c r="U39" t="s">
        <v>31</v>
      </c>
      <c r="V39" t="s">
        <v>31</v>
      </c>
      <c r="W39">
        <v>107472</v>
      </c>
      <c r="X39" t="s">
        <v>669</v>
      </c>
      <c r="Y39" t="str">
        <f>HYPERLINK("http://dx.doi.org/10.1016/j.fishres.2025.107472","http://dx.doi.org/10.1016/j.fishres.2025.107472")</f>
        <v>http://dx.doi.org/10.1016/j.fishres.2025.107472</v>
      </c>
      <c r="Z39" t="s">
        <v>637</v>
      </c>
      <c r="AA39" t="s">
        <v>218</v>
      </c>
      <c r="AB39" t="s">
        <v>218</v>
      </c>
      <c r="AC39" t="s">
        <v>47</v>
      </c>
      <c r="AD39" t="s">
        <v>670</v>
      </c>
      <c r="AE39" t="str">
        <f>HYPERLINK("https%3A%2F%2Fwww.webofscience.com%2Fwos%2Fwoscc%2Ffull-record%2FWOS:001533521400002","View Full Record in Web of Science")</f>
        <v>View Full Record in Web of Science</v>
      </c>
      <c r="AG39" s="4" t="s">
        <v>3637</v>
      </c>
      <c r="AH39" s="4" t="s">
        <v>3658</v>
      </c>
      <c r="AI39" s="4" t="s">
        <v>3700</v>
      </c>
      <c r="AJ39">
        <v>0</v>
      </c>
      <c r="AK39" s="4" t="s">
        <v>3845</v>
      </c>
      <c r="AL39" s="4" t="s">
        <v>3639</v>
      </c>
      <c r="AN39" s="4" t="s">
        <v>3639</v>
      </c>
      <c r="AP39" s="4" t="s">
        <v>3635</v>
      </c>
      <c r="AQ39" s="4" t="s">
        <v>3846</v>
      </c>
      <c r="AR39" s="10">
        <v>1596</v>
      </c>
      <c r="AS39" s="4" t="s">
        <v>3633</v>
      </c>
      <c r="AT39" s="4" t="s">
        <v>3847</v>
      </c>
    </row>
    <row r="40" spans="1:46" ht="20.100000000000001" customHeight="1" x14ac:dyDescent="0.2">
      <c r="A40" t="s">
        <v>671</v>
      </c>
      <c r="B40" t="s">
        <v>672</v>
      </c>
      <c r="C40" t="s">
        <v>673</v>
      </c>
      <c r="D40" t="s">
        <v>124</v>
      </c>
      <c r="E40" t="s">
        <v>674</v>
      </c>
      <c r="F40" t="s">
        <v>675</v>
      </c>
      <c r="G40" s="4" t="s">
        <v>676</v>
      </c>
      <c r="H40" t="s">
        <v>677</v>
      </c>
      <c r="I40" t="s">
        <v>194</v>
      </c>
      <c r="J40" t="s">
        <v>678</v>
      </c>
      <c r="K40" s="4" t="s">
        <v>3691</v>
      </c>
      <c r="L40" t="s">
        <v>679</v>
      </c>
      <c r="M40" t="s">
        <v>680</v>
      </c>
      <c r="N40" t="s">
        <v>681</v>
      </c>
      <c r="O40" t="s">
        <v>465</v>
      </c>
      <c r="P40">
        <v>1</v>
      </c>
      <c r="Q40" t="s">
        <v>682</v>
      </c>
      <c r="R40">
        <v>2025</v>
      </c>
      <c r="S40">
        <v>14</v>
      </c>
      <c r="T40">
        <v>13</v>
      </c>
      <c r="U40" t="s">
        <v>31</v>
      </c>
      <c r="V40" t="s">
        <v>31</v>
      </c>
      <c r="W40">
        <v>2210</v>
      </c>
      <c r="X40" t="s">
        <v>683</v>
      </c>
      <c r="Y40" t="str">
        <f>HYPERLINK("http://dx.doi.org/10.3390/foods14132210","http://dx.doi.org/10.3390/foods14132210")</f>
        <v>http://dx.doi.org/10.3390/foods14132210</v>
      </c>
      <c r="Z40" t="s">
        <v>31</v>
      </c>
      <c r="AA40" t="s">
        <v>46</v>
      </c>
      <c r="AB40" t="s">
        <v>46</v>
      </c>
      <c r="AC40" t="s">
        <v>47</v>
      </c>
      <c r="AD40" t="s">
        <v>684</v>
      </c>
      <c r="AE40" t="str">
        <f>HYPERLINK("https%3A%2F%2Fwww.webofscience.com%2Fwos%2Fwoscc%2Ffull-record%2FWOS:001527209100001","View Full Record in Web of Science")</f>
        <v>View Full Record in Web of Science</v>
      </c>
      <c r="AG40" s="4" t="s">
        <v>3637</v>
      </c>
      <c r="AI40" s="4" t="s">
        <v>3632</v>
      </c>
      <c r="AJ40">
        <v>0</v>
      </c>
      <c r="AK40" s="4" t="s">
        <v>3848</v>
      </c>
      <c r="AL40" s="4" t="s">
        <v>3639</v>
      </c>
      <c r="AN40" s="4" t="s">
        <v>3639</v>
      </c>
      <c r="AP40" s="4" t="s">
        <v>3635</v>
      </c>
      <c r="AQ40" s="4" t="s">
        <v>3849</v>
      </c>
      <c r="AR40" s="4">
        <v>72</v>
      </c>
      <c r="AS40" s="4" t="s">
        <v>3633</v>
      </c>
      <c r="AT40" s="4" t="s">
        <v>3850</v>
      </c>
    </row>
    <row r="41" spans="1:46" ht="20.100000000000001" customHeight="1" x14ac:dyDescent="0.2">
      <c r="A41" t="s">
        <v>685</v>
      </c>
      <c r="B41" t="s">
        <v>686</v>
      </c>
      <c r="C41" t="s">
        <v>687</v>
      </c>
      <c r="D41" t="s">
        <v>688</v>
      </c>
      <c r="E41" t="s">
        <v>689</v>
      </c>
      <c r="F41" t="s">
        <v>690</v>
      </c>
      <c r="G41" s="4" t="s">
        <v>691</v>
      </c>
      <c r="H41" t="s">
        <v>692</v>
      </c>
      <c r="I41" t="s">
        <v>693</v>
      </c>
      <c r="J41" t="s">
        <v>694</v>
      </c>
      <c r="K41" s="4" t="s">
        <v>3625</v>
      </c>
      <c r="L41" t="s">
        <v>695</v>
      </c>
      <c r="M41" t="s">
        <v>696</v>
      </c>
      <c r="N41" t="s">
        <v>697</v>
      </c>
      <c r="O41" t="s">
        <v>698</v>
      </c>
      <c r="P41">
        <v>4</v>
      </c>
      <c r="Q41" t="s">
        <v>699</v>
      </c>
      <c r="R41">
        <v>2025</v>
      </c>
      <c r="S41" t="s">
        <v>31</v>
      </c>
      <c r="T41" t="s">
        <v>31</v>
      </c>
      <c r="U41" t="s">
        <v>31</v>
      </c>
      <c r="V41" t="s">
        <v>31</v>
      </c>
      <c r="W41" t="s">
        <v>31</v>
      </c>
      <c r="X41" t="s">
        <v>700</v>
      </c>
      <c r="Y41" t="str">
        <f>HYPERLINK("http://dx.doi.org/10.1111/1749-4877.13002","http://dx.doi.org/10.1111/1749-4877.13002")</f>
        <v>http://dx.doi.org/10.1111/1749-4877.13002</v>
      </c>
      <c r="Z41" t="s">
        <v>701</v>
      </c>
      <c r="AA41" t="s">
        <v>450</v>
      </c>
      <c r="AB41" t="s">
        <v>450</v>
      </c>
      <c r="AC41" t="s">
        <v>47</v>
      </c>
      <c r="AD41" t="s">
        <v>702</v>
      </c>
      <c r="AE41" t="str">
        <f>HYPERLINK("https%3A%2F%2Fwww.webofscience.com%2Fwos%2Fwoscc%2Ffull-record%2FWOS:001521815900001","View Full Record in Web of Science")</f>
        <v>View Full Record in Web of Science</v>
      </c>
      <c r="AG41" s="4" t="s">
        <v>3647</v>
      </c>
      <c r="AH41" s="4" t="s">
        <v>3657</v>
      </c>
      <c r="AI41" s="4" t="s">
        <v>3754</v>
      </c>
      <c r="AJ41">
        <v>1</v>
      </c>
      <c r="AK41" s="4" t="s">
        <v>3851</v>
      </c>
      <c r="AL41" s="4" t="s">
        <v>3650</v>
      </c>
      <c r="AM41" s="4" t="s">
        <v>4159</v>
      </c>
      <c r="AN41" s="4" t="s">
        <v>3650</v>
      </c>
      <c r="AO41" s="4" t="s">
        <v>3852</v>
      </c>
      <c r="AP41" s="4" t="s">
        <v>3651</v>
      </c>
      <c r="AQ41" s="4" t="s">
        <v>3854</v>
      </c>
      <c r="AR41" s="4">
        <v>3</v>
      </c>
      <c r="AS41" s="4" t="s">
        <v>3653</v>
      </c>
      <c r="AT41" s="4" t="s">
        <v>3853</v>
      </c>
    </row>
    <row r="42" spans="1:46" ht="20.100000000000001" customHeight="1" x14ac:dyDescent="0.2">
      <c r="A42" t="s">
        <v>704</v>
      </c>
      <c r="B42" t="s">
        <v>705</v>
      </c>
      <c r="C42" t="s">
        <v>706</v>
      </c>
      <c r="D42" t="s">
        <v>707</v>
      </c>
      <c r="E42" t="s">
        <v>708</v>
      </c>
      <c r="F42" t="s">
        <v>709</v>
      </c>
      <c r="G42" t="s">
        <v>710</v>
      </c>
      <c r="H42" t="s">
        <v>711</v>
      </c>
      <c r="I42" t="s">
        <v>712</v>
      </c>
      <c r="J42" t="s">
        <v>713</v>
      </c>
      <c r="K42" s="4" t="s">
        <v>4173</v>
      </c>
      <c r="L42" t="s">
        <v>714</v>
      </c>
      <c r="M42" t="s">
        <v>715</v>
      </c>
      <c r="N42" t="s">
        <v>716</v>
      </c>
      <c r="O42" t="s">
        <v>717</v>
      </c>
      <c r="P42">
        <v>13</v>
      </c>
      <c r="Q42" t="s">
        <v>718</v>
      </c>
      <c r="R42">
        <v>2025</v>
      </c>
      <c r="S42">
        <v>179</v>
      </c>
      <c r="T42" t="s">
        <v>31</v>
      </c>
      <c r="U42" t="s">
        <v>31</v>
      </c>
      <c r="V42" t="s">
        <v>31</v>
      </c>
      <c r="W42">
        <v>106763</v>
      </c>
      <c r="X42" t="s">
        <v>719</v>
      </c>
      <c r="Y42" t="str">
        <f>HYPERLINK("http://dx.doi.org/10.1016/j.marpol.2025.106763","http://dx.doi.org/10.1016/j.marpol.2025.106763")</f>
        <v>http://dx.doi.org/10.1016/j.marpol.2025.106763</v>
      </c>
      <c r="Z42" t="s">
        <v>703</v>
      </c>
      <c r="AA42" t="s">
        <v>720</v>
      </c>
      <c r="AB42" t="s">
        <v>721</v>
      </c>
      <c r="AC42" t="s">
        <v>47</v>
      </c>
      <c r="AD42" t="s">
        <v>722</v>
      </c>
      <c r="AE42" t="str">
        <f>HYPERLINK("https%3A%2F%2Fwww.webofscience.com%2Fwos%2Fwoscc%2Ffull-record%2FWOS:001495858800001","View Full Record in Web of Science")</f>
        <v>View Full Record in Web of Science</v>
      </c>
      <c r="AG42" s="4" t="s">
        <v>3667</v>
      </c>
      <c r="AH42" s="4" t="s">
        <v>3637</v>
      </c>
      <c r="AI42" s="4" t="s">
        <v>3632</v>
      </c>
      <c r="AJ42">
        <v>0</v>
      </c>
      <c r="AK42" s="6" t="s">
        <v>3855</v>
      </c>
      <c r="AL42" s="4" t="s">
        <v>3639</v>
      </c>
      <c r="AN42" s="4" t="s">
        <v>3639</v>
      </c>
      <c r="AO42" t="s">
        <v>3856</v>
      </c>
      <c r="AP42" s="4" t="s">
        <v>3670</v>
      </c>
      <c r="AQ42" t="s">
        <v>3857</v>
      </c>
      <c r="AR42" s="4">
        <v>0</v>
      </c>
      <c r="AS42">
        <v>0</v>
      </c>
      <c r="AT42" t="s">
        <v>3858</v>
      </c>
    </row>
    <row r="43" spans="1:46" ht="20.100000000000001" customHeight="1" x14ac:dyDescent="0.2">
      <c r="A43" t="s">
        <v>723</v>
      </c>
      <c r="B43" t="s">
        <v>724</v>
      </c>
      <c r="C43" t="s">
        <v>725</v>
      </c>
      <c r="D43" t="s">
        <v>239</v>
      </c>
      <c r="E43" t="s">
        <v>726</v>
      </c>
      <c r="F43" t="s">
        <v>727</v>
      </c>
      <c r="G43" t="s">
        <v>728</v>
      </c>
      <c r="H43" t="s">
        <v>729</v>
      </c>
      <c r="I43" t="s">
        <v>730</v>
      </c>
      <c r="J43" t="s">
        <v>731</v>
      </c>
      <c r="K43" s="4" t="s">
        <v>3691</v>
      </c>
      <c r="L43" t="s">
        <v>732</v>
      </c>
      <c r="M43" t="s">
        <v>733</v>
      </c>
      <c r="N43" t="s">
        <v>734</v>
      </c>
      <c r="O43" t="s">
        <v>735</v>
      </c>
      <c r="P43">
        <v>0</v>
      </c>
      <c r="Q43" t="s">
        <v>736</v>
      </c>
      <c r="R43">
        <v>2025</v>
      </c>
      <c r="S43">
        <v>15</v>
      </c>
      <c r="T43">
        <v>5</v>
      </c>
      <c r="U43" t="s">
        <v>31</v>
      </c>
      <c r="V43" t="s">
        <v>31</v>
      </c>
      <c r="W43" t="s">
        <v>737</v>
      </c>
      <c r="X43" t="s">
        <v>738</v>
      </c>
      <c r="Y43" t="str">
        <f>HYPERLINK("http://dx.doi.org/10.1002/ece3.71060","http://dx.doi.org/10.1002/ece3.71060")</f>
        <v>http://dx.doi.org/10.1002/ece3.71060</v>
      </c>
      <c r="Z43" t="s">
        <v>31</v>
      </c>
      <c r="AA43" t="s">
        <v>253</v>
      </c>
      <c r="AB43" t="s">
        <v>254</v>
      </c>
      <c r="AC43" t="s">
        <v>47</v>
      </c>
      <c r="AD43" t="s">
        <v>739</v>
      </c>
      <c r="AE43" t="str">
        <f>HYPERLINK("https%3A%2F%2Fwww.webofscience.com%2Fwos%2Fwoscc%2Ffull-record%2FWOS:001489278100001","View Full Record in Web of Science")</f>
        <v>View Full Record in Web of Science</v>
      </c>
      <c r="AG43" s="4" t="s">
        <v>3667</v>
      </c>
      <c r="AH43" s="4" t="s">
        <v>3876</v>
      </c>
      <c r="AI43" s="4" t="s">
        <v>3668</v>
      </c>
      <c r="AJ43">
        <v>3</v>
      </c>
      <c r="AK43" t="s">
        <v>3859</v>
      </c>
      <c r="AL43" s="4" t="s">
        <v>3650</v>
      </c>
      <c r="AM43" t="s">
        <v>3860</v>
      </c>
      <c r="AN43" s="4" t="s">
        <v>3650</v>
      </c>
      <c r="AO43" t="s">
        <v>3861</v>
      </c>
      <c r="AP43" s="4" t="s">
        <v>3802</v>
      </c>
      <c r="AQ43" t="s">
        <v>3862</v>
      </c>
      <c r="AR43" s="4">
        <v>9</v>
      </c>
      <c r="AS43" s="4" t="s">
        <v>3708</v>
      </c>
      <c r="AT43" s="4" t="s">
        <v>3863</v>
      </c>
    </row>
    <row r="44" spans="1:46" ht="20.100000000000001" customHeight="1" x14ac:dyDescent="0.2">
      <c r="A44" t="s">
        <v>740</v>
      </c>
      <c r="B44" t="s">
        <v>741</v>
      </c>
      <c r="C44" t="s">
        <v>742</v>
      </c>
      <c r="D44" t="s">
        <v>743</v>
      </c>
      <c r="E44" t="s">
        <v>744</v>
      </c>
      <c r="F44" t="s">
        <v>745</v>
      </c>
      <c r="G44" t="s">
        <v>746</v>
      </c>
      <c r="H44" t="s">
        <v>747</v>
      </c>
      <c r="I44" t="s">
        <v>194</v>
      </c>
      <c r="J44" t="s">
        <v>748</v>
      </c>
      <c r="K44" s="4" t="s">
        <v>3691</v>
      </c>
      <c r="L44" t="s">
        <v>749</v>
      </c>
      <c r="M44" t="s">
        <v>750</v>
      </c>
      <c r="N44" t="s">
        <v>751</v>
      </c>
      <c r="O44" t="s">
        <v>465</v>
      </c>
      <c r="P44">
        <v>0</v>
      </c>
      <c r="Q44" t="s">
        <v>752</v>
      </c>
      <c r="R44">
        <v>2025</v>
      </c>
      <c r="S44">
        <v>23</v>
      </c>
      <c r="T44">
        <v>5</v>
      </c>
      <c r="U44" t="s">
        <v>31</v>
      </c>
      <c r="V44" t="s">
        <v>31</v>
      </c>
      <c r="W44">
        <v>182</v>
      </c>
      <c r="X44" t="s">
        <v>753</v>
      </c>
      <c r="Y44" t="str">
        <f>HYPERLINK("http://dx.doi.org/10.3390/md23050182","http://dx.doi.org/10.3390/md23050182")</f>
        <v>http://dx.doi.org/10.3390/md23050182</v>
      </c>
      <c r="Z44" t="s">
        <v>31</v>
      </c>
      <c r="AA44" t="s">
        <v>754</v>
      </c>
      <c r="AB44" t="s">
        <v>755</v>
      </c>
      <c r="AC44" t="s">
        <v>47</v>
      </c>
      <c r="AD44" t="s">
        <v>756</v>
      </c>
      <c r="AE44" t="str">
        <f>HYPERLINK("https%3A%2F%2Fwww.webofscience.com%2Fwos%2Fwoscc%2Ffull-record%2FWOS:001496736300001","View Full Record in Web of Science")</f>
        <v>View Full Record in Web of Science</v>
      </c>
      <c r="AG44" s="4" t="s">
        <v>3637</v>
      </c>
      <c r="AI44" s="4" t="s">
        <v>3632</v>
      </c>
      <c r="AJ44">
        <v>0</v>
      </c>
      <c r="AK44" t="s">
        <v>3868</v>
      </c>
      <c r="AL44" s="4" t="s">
        <v>3639</v>
      </c>
      <c r="AN44" s="4" t="s">
        <v>3639</v>
      </c>
      <c r="AO44" t="s">
        <v>3869</v>
      </c>
      <c r="AP44" s="4" t="s">
        <v>3635</v>
      </c>
      <c r="AQ44" t="s">
        <v>3870</v>
      </c>
      <c r="AR44" s="4">
        <v>72</v>
      </c>
      <c r="AS44" s="4" t="s">
        <v>3633</v>
      </c>
      <c r="AT44" t="s">
        <v>3871</v>
      </c>
    </row>
    <row r="45" spans="1:46" ht="20.100000000000001" customHeight="1" x14ac:dyDescent="0.2">
      <c r="A45" t="s">
        <v>757</v>
      </c>
      <c r="B45" t="s">
        <v>758</v>
      </c>
      <c r="C45" t="s">
        <v>759</v>
      </c>
      <c r="D45" t="s">
        <v>760</v>
      </c>
      <c r="E45" t="s">
        <v>761</v>
      </c>
      <c r="F45" t="s">
        <v>762</v>
      </c>
      <c r="G45" t="s">
        <v>763</v>
      </c>
      <c r="H45" t="s">
        <v>764</v>
      </c>
      <c r="I45" t="s">
        <v>765</v>
      </c>
      <c r="J45" t="s">
        <v>766</v>
      </c>
      <c r="K45" s="4" t="s">
        <v>3718</v>
      </c>
      <c r="L45" t="s">
        <v>767</v>
      </c>
      <c r="M45" t="s">
        <v>768</v>
      </c>
      <c r="N45" t="s">
        <v>768</v>
      </c>
      <c r="O45" t="s">
        <v>769</v>
      </c>
      <c r="P45">
        <v>0</v>
      </c>
      <c r="Q45" t="s">
        <v>770</v>
      </c>
      <c r="R45">
        <v>2025</v>
      </c>
      <c r="S45">
        <v>105</v>
      </c>
      <c r="T45" t="s">
        <v>31</v>
      </c>
      <c r="U45" t="s">
        <v>31</v>
      </c>
      <c r="V45" t="s">
        <v>31</v>
      </c>
      <c r="W45" t="s">
        <v>771</v>
      </c>
      <c r="X45" t="s">
        <v>772</v>
      </c>
      <c r="Y45" t="str">
        <f>HYPERLINK("http://dx.doi.org/10.1017/S0025315425000189","http://dx.doi.org/10.1017/S0025315425000189")</f>
        <v>http://dx.doi.org/10.1017/S0025315425000189</v>
      </c>
      <c r="Z45" t="s">
        <v>31</v>
      </c>
      <c r="AA45" t="s">
        <v>119</v>
      </c>
      <c r="AB45" t="s">
        <v>119</v>
      </c>
      <c r="AC45" t="s">
        <v>47</v>
      </c>
      <c r="AD45" t="s">
        <v>773</v>
      </c>
      <c r="AE45" t="str">
        <f>HYPERLINK("https%3A%2F%2Fwww.webofscience.com%2Fwos%2Fwoscc%2Ffull-record%2FWOS:001471780100001","View Full Record in Web of Science")</f>
        <v>View Full Record in Web of Science</v>
      </c>
      <c r="AG45" s="4" t="s">
        <v>3637</v>
      </c>
      <c r="AH45" s="4" t="s">
        <v>3657</v>
      </c>
      <c r="AI45" s="4" t="s">
        <v>3632</v>
      </c>
      <c r="AJ45">
        <v>0</v>
      </c>
      <c r="AK45" t="s">
        <v>3872</v>
      </c>
      <c r="AL45" s="4" t="s">
        <v>3639</v>
      </c>
      <c r="AN45" s="4" t="s">
        <v>3639</v>
      </c>
      <c r="AO45" t="s">
        <v>3873</v>
      </c>
      <c r="AP45" s="4" t="s">
        <v>3706</v>
      </c>
      <c r="AQ45" t="s">
        <v>3874</v>
      </c>
      <c r="AR45" s="4">
        <v>54</v>
      </c>
      <c r="AS45" s="4" t="s">
        <v>3653</v>
      </c>
      <c r="AT45" t="s">
        <v>3875</v>
      </c>
    </row>
    <row r="46" spans="1:46" ht="20.100000000000001" customHeight="1" x14ac:dyDescent="0.2">
      <c r="A46" t="s">
        <v>774</v>
      </c>
      <c r="B46" t="s">
        <v>775</v>
      </c>
      <c r="C46" t="s">
        <v>776</v>
      </c>
      <c r="D46" t="s">
        <v>367</v>
      </c>
      <c r="E46" t="s">
        <v>777</v>
      </c>
      <c r="F46" t="s">
        <v>778</v>
      </c>
      <c r="G46" t="s">
        <v>779</v>
      </c>
      <c r="H46" t="s">
        <v>780</v>
      </c>
      <c r="I46" t="s">
        <v>730</v>
      </c>
      <c r="J46" t="s">
        <v>781</v>
      </c>
      <c r="K46" s="4" t="s">
        <v>3691</v>
      </c>
      <c r="L46" t="s">
        <v>782</v>
      </c>
      <c r="M46" t="s">
        <v>783</v>
      </c>
      <c r="N46" t="s">
        <v>784</v>
      </c>
      <c r="O46" t="s">
        <v>785</v>
      </c>
      <c r="P46">
        <v>1</v>
      </c>
      <c r="Q46" t="s">
        <v>786</v>
      </c>
      <c r="R46">
        <v>2025</v>
      </c>
      <c r="S46">
        <v>15</v>
      </c>
      <c r="T46">
        <v>7</v>
      </c>
      <c r="U46" t="s">
        <v>31</v>
      </c>
      <c r="V46" t="s">
        <v>31</v>
      </c>
      <c r="W46">
        <v>1034</v>
      </c>
      <c r="X46" t="s">
        <v>787</v>
      </c>
      <c r="Y46" t="str">
        <f>HYPERLINK("http://dx.doi.org/10.3390/ani15071034","http://dx.doi.org/10.3390/ani15071034")</f>
        <v>http://dx.doi.org/10.3390/ani15071034</v>
      </c>
      <c r="Z46" t="s">
        <v>31</v>
      </c>
      <c r="AA46" t="s">
        <v>380</v>
      </c>
      <c r="AB46" t="s">
        <v>381</v>
      </c>
      <c r="AC46" t="s">
        <v>47</v>
      </c>
      <c r="AD46" t="s">
        <v>788</v>
      </c>
      <c r="AE46" t="str">
        <f>HYPERLINK("https%3A%2F%2Fwww.webofscience.com%2Fwos%2Fwoscc%2Ffull-record%2FWOS:001463659700001","View Full Record in Web of Science")</f>
        <v>View Full Record in Web of Science</v>
      </c>
      <c r="AG46" s="4" t="s">
        <v>3876</v>
      </c>
      <c r="AH46" s="4" t="s">
        <v>3647</v>
      </c>
      <c r="AI46" s="4" t="s">
        <v>3719</v>
      </c>
      <c r="AJ46">
        <v>3</v>
      </c>
      <c r="AK46" s="4" t="s">
        <v>4160</v>
      </c>
      <c r="AL46" s="4" t="s">
        <v>3650</v>
      </c>
      <c r="AM46" t="s">
        <v>3879</v>
      </c>
      <c r="AN46" s="4" t="s">
        <v>3639</v>
      </c>
      <c r="AO46" t="s">
        <v>3978</v>
      </c>
      <c r="AP46" s="4" t="s">
        <v>3802</v>
      </c>
      <c r="AQ46" t="s">
        <v>3877</v>
      </c>
      <c r="AR46" s="4">
        <v>1</v>
      </c>
      <c r="AS46" s="4" t="s">
        <v>3708</v>
      </c>
      <c r="AT46" t="s">
        <v>3878</v>
      </c>
    </row>
    <row r="47" spans="1:46" ht="20.100000000000001" customHeight="1" x14ac:dyDescent="0.2">
      <c r="A47" t="s">
        <v>789</v>
      </c>
      <c r="B47" t="s">
        <v>790</v>
      </c>
      <c r="C47" t="s">
        <v>791</v>
      </c>
      <c r="D47" t="s">
        <v>792</v>
      </c>
      <c r="E47" t="s">
        <v>793</v>
      </c>
      <c r="F47" t="s">
        <v>794</v>
      </c>
      <c r="G47" t="s">
        <v>795</v>
      </c>
      <c r="H47" t="s">
        <v>796</v>
      </c>
      <c r="I47" t="s">
        <v>797</v>
      </c>
      <c r="J47" t="s">
        <v>798</v>
      </c>
      <c r="K47" s="4" t="s">
        <v>3691</v>
      </c>
      <c r="L47" t="s">
        <v>229</v>
      </c>
      <c r="M47" t="s">
        <v>799</v>
      </c>
      <c r="N47" t="s">
        <v>800</v>
      </c>
      <c r="O47" t="s">
        <v>801</v>
      </c>
      <c r="P47">
        <v>1</v>
      </c>
      <c r="Q47" t="s">
        <v>802</v>
      </c>
      <c r="R47">
        <v>2025</v>
      </c>
      <c r="S47">
        <v>16</v>
      </c>
      <c r="T47" t="s">
        <v>31</v>
      </c>
      <c r="U47" t="s">
        <v>31</v>
      </c>
      <c r="V47" t="s">
        <v>31</v>
      </c>
      <c r="W47">
        <v>1543587</v>
      </c>
      <c r="X47" t="s">
        <v>803</v>
      </c>
      <c r="Y47" t="str">
        <f>HYPERLINK("http://dx.doi.org/10.3389/fimmu.2025.1543587","http://dx.doi.org/10.3389/fimmu.2025.1543587")</f>
        <v>http://dx.doi.org/10.3389/fimmu.2025.1543587</v>
      </c>
      <c r="Z47" t="s">
        <v>31</v>
      </c>
      <c r="AA47" t="s">
        <v>804</v>
      </c>
      <c r="AB47" t="s">
        <v>804</v>
      </c>
      <c r="AC47" t="s">
        <v>47</v>
      </c>
      <c r="AD47" t="s">
        <v>805</v>
      </c>
      <c r="AE47" t="str">
        <f>HYPERLINK("https%3A%2F%2Fwww.webofscience.com%2Fwos%2Fwoscc%2Ffull-record%2FWOS:001458596300001","View Full Record in Web of Science")</f>
        <v>View Full Record in Web of Science</v>
      </c>
      <c r="AG47" s="4" t="s">
        <v>3647</v>
      </c>
      <c r="AH47" s="4" t="s">
        <v>3684</v>
      </c>
      <c r="AI47" s="4" t="s">
        <v>3648</v>
      </c>
      <c r="AJ47">
        <v>1</v>
      </c>
      <c r="AK47" t="s">
        <v>3880</v>
      </c>
      <c r="AL47" s="4" t="s">
        <v>3735</v>
      </c>
      <c r="AM47" t="s">
        <v>3881</v>
      </c>
      <c r="AN47" s="4" t="s">
        <v>3650</v>
      </c>
      <c r="AO47" s="4" t="s">
        <v>3882</v>
      </c>
      <c r="AP47" s="4" t="s">
        <v>3706</v>
      </c>
      <c r="AQ47" s="4" t="s">
        <v>4161</v>
      </c>
      <c r="AR47" s="4">
        <v>4</v>
      </c>
      <c r="AS47" s="4" t="s">
        <v>3653</v>
      </c>
      <c r="AT47" s="4" t="s">
        <v>3883</v>
      </c>
    </row>
    <row r="48" spans="1:46" ht="20.100000000000001" customHeight="1" x14ac:dyDescent="0.2">
      <c r="A48" t="s">
        <v>806</v>
      </c>
      <c r="B48" t="s">
        <v>807</v>
      </c>
      <c r="C48" t="s">
        <v>808</v>
      </c>
      <c r="D48" t="s">
        <v>293</v>
      </c>
      <c r="E48" t="s">
        <v>809</v>
      </c>
      <c r="F48" t="s">
        <v>810</v>
      </c>
      <c r="G48" t="s">
        <v>811</v>
      </c>
      <c r="H48" t="s">
        <v>812</v>
      </c>
      <c r="I48" t="s">
        <v>813</v>
      </c>
      <c r="J48" t="s">
        <v>814</v>
      </c>
      <c r="K48" s="4" t="s">
        <v>3732</v>
      </c>
      <c r="L48" t="s">
        <v>815</v>
      </c>
      <c r="M48" t="s">
        <v>816</v>
      </c>
      <c r="N48" t="s">
        <v>816</v>
      </c>
      <c r="O48" t="s">
        <v>817</v>
      </c>
      <c r="P48">
        <v>1</v>
      </c>
      <c r="Q48" t="s">
        <v>169</v>
      </c>
      <c r="R48">
        <v>2025</v>
      </c>
      <c r="S48">
        <v>5</v>
      </c>
      <c r="T48">
        <v>1</v>
      </c>
      <c r="U48" t="s">
        <v>31</v>
      </c>
      <c r="V48" t="s">
        <v>31</v>
      </c>
      <c r="W48">
        <v>100832</v>
      </c>
      <c r="X48" t="s">
        <v>818</v>
      </c>
      <c r="Y48" t="str">
        <f>HYPERLINK("http://dx.doi.org/10.1016/j.afres.2025.100832","http://dx.doi.org/10.1016/j.afres.2025.100832")</f>
        <v>http://dx.doi.org/10.1016/j.afres.2025.100832</v>
      </c>
      <c r="Z48" t="s">
        <v>819</v>
      </c>
      <c r="AA48" t="s">
        <v>46</v>
      </c>
      <c r="AB48" t="s">
        <v>46</v>
      </c>
      <c r="AC48" t="s">
        <v>47</v>
      </c>
      <c r="AD48" t="s">
        <v>820</v>
      </c>
      <c r="AE48" t="str">
        <f>HYPERLINK("https%3A%2F%2Fwww.webofscience.com%2Fwos%2Fwoscc%2Ffull-record%2FWOS:001467101800001","View Full Record in Web of Science")</f>
        <v>View Full Record in Web of Science</v>
      </c>
      <c r="AG48" s="4" t="s">
        <v>3637</v>
      </c>
      <c r="AH48" s="4" t="s">
        <v>3798</v>
      </c>
      <c r="AI48" s="4" t="s">
        <v>3632</v>
      </c>
      <c r="AJ48">
        <v>0</v>
      </c>
      <c r="AK48" t="s">
        <v>3884</v>
      </c>
      <c r="AL48" s="4" t="s">
        <v>3639</v>
      </c>
      <c r="AN48" s="4" t="s">
        <v>3639</v>
      </c>
      <c r="AO48" t="s">
        <v>3885</v>
      </c>
      <c r="AP48" s="4" t="s">
        <v>3635</v>
      </c>
      <c r="AQ48" t="s">
        <v>3886</v>
      </c>
      <c r="AR48" s="4">
        <v>6</v>
      </c>
      <c r="AS48" s="4" t="s">
        <v>3633</v>
      </c>
      <c r="AT48" s="6" t="s">
        <v>3887</v>
      </c>
    </row>
    <row r="49" spans="1:46" ht="20.100000000000001" customHeight="1" x14ac:dyDescent="0.2">
      <c r="A49" t="s">
        <v>821</v>
      </c>
      <c r="B49" t="s">
        <v>822</v>
      </c>
      <c r="C49" t="s">
        <v>823</v>
      </c>
      <c r="D49" t="s">
        <v>824</v>
      </c>
      <c r="E49" t="s">
        <v>825</v>
      </c>
      <c r="F49" t="s">
        <v>826</v>
      </c>
      <c r="G49" t="s">
        <v>827</v>
      </c>
      <c r="H49" t="s">
        <v>828</v>
      </c>
      <c r="I49" t="s">
        <v>829</v>
      </c>
      <c r="J49" t="s">
        <v>830</v>
      </c>
      <c r="K49" s="4" t="s">
        <v>3691</v>
      </c>
      <c r="L49" t="s">
        <v>831</v>
      </c>
      <c r="M49" t="s">
        <v>832</v>
      </c>
      <c r="N49" t="s">
        <v>833</v>
      </c>
      <c r="O49" t="s">
        <v>834</v>
      </c>
      <c r="P49">
        <v>2</v>
      </c>
      <c r="Q49" t="s">
        <v>447</v>
      </c>
      <c r="R49">
        <v>2026</v>
      </c>
      <c r="S49">
        <v>25</v>
      </c>
      <c r="T49" t="s">
        <v>31</v>
      </c>
      <c r="U49" t="s">
        <v>31</v>
      </c>
      <c r="V49" t="s">
        <v>31</v>
      </c>
      <c r="W49">
        <v>102540</v>
      </c>
      <c r="X49" t="s">
        <v>835</v>
      </c>
      <c r="Y49" t="str">
        <f>HYPERLINK("http://dx.doi.org/10.1016/j.jafr.2025.102540","http://dx.doi.org/10.1016/j.jafr.2025.102540")</f>
        <v>http://dx.doi.org/10.1016/j.jafr.2025.102540</v>
      </c>
      <c r="Z49" t="s">
        <v>836</v>
      </c>
      <c r="AA49" t="s">
        <v>837</v>
      </c>
      <c r="AB49" t="s">
        <v>838</v>
      </c>
      <c r="AC49" t="s">
        <v>47</v>
      </c>
      <c r="AD49" t="s">
        <v>839</v>
      </c>
      <c r="AE49" t="str">
        <f>HYPERLINK("https%3A%2F%2Fwww.webofscience.com%2Fwos%2Fwoscc%2Ffull-record%2FWOS:001636562300002","View Full Record in Web of Science")</f>
        <v>View Full Record in Web of Science</v>
      </c>
      <c r="AG49" s="4" t="s">
        <v>3637</v>
      </c>
      <c r="AI49" s="4" t="s">
        <v>3632</v>
      </c>
      <c r="AJ49">
        <v>0</v>
      </c>
      <c r="AK49" s="6" t="s">
        <v>3888</v>
      </c>
      <c r="AL49" s="4" t="s">
        <v>3639</v>
      </c>
      <c r="AN49" s="4" t="s">
        <v>3639</v>
      </c>
      <c r="AO49" t="s">
        <v>3889</v>
      </c>
      <c r="AP49" s="4" t="s">
        <v>3635</v>
      </c>
      <c r="AQ49" t="s">
        <v>3891</v>
      </c>
      <c r="AR49" t="s">
        <v>3672</v>
      </c>
      <c r="AS49" s="4" t="s">
        <v>3633</v>
      </c>
      <c r="AT49" t="s">
        <v>3890</v>
      </c>
    </row>
    <row r="50" spans="1:46" ht="20.100000000000001" customHeight="1" x14ac:dyDescent="0.2">
      <c r="A50" t="s">
        <v>840</v>
      </c>
      <c r="B50" t="s">
        <v>841</v>
      </c>
      <c r="C50" t="s">
        <v>842</v>
      </c>
      <c r="D50" t="s">
        <v>239</v>
      </c>
      <c r="E50" t="s">
        <v>843</v>
      </c>
      <c r="F50" t="s">
        <v>844</v>
      </c>
      <c r="G50" t="s">
        <v>845</v>
      </c>
      <c r="H50" t="s">
        <v>846</v>
      </c>
      <c r="I50" t="s">
        <v>847</v>
      </c>
      <c r="J50" t="s">
        <v>848</v>
      </c>
      <c r="K50" s="4" t="s">
        <v>3691</v>
      </c>
      <c r="L50" t="s">
        <v>732</v>
      </c>
      <c r="M50" t="s">
        <v>849</v>
      </c>
      <c r="N50" t="s">
        <v>850</v>
      </c>
      <c r="O50" t="s">
        <v>851</v>
      </c>
      <c r="P50">
        <v>3</v>
      </c>
      <c r="Q50" t="s">
        <v>852</v>
      </c>
      <c r="R50">
        <v>2025</v>
      </c>
      <c r="S50">
        <v>15</v>
      </c>
      <c r="T50">
        <v>2</v>
      </c>
      <c r="U50" t="s">
        <v>31</v>
      </c>
      <c r="V50" t="s">
        <v>31</v>
      </c>
      <c r="W50" t="s">
        <v>853</v>
      </c>
      <c r="X50" t="s">
        <v>854</v>
      </c>
      <c r="Y50" t="str">
        <f>HYPERLINK("http://dx.doi.org/10.1002/ece3.70989","http://dx.doi.org/10.1002/ece3.70989")</f>
        <v>http://dx.doi.org/10.1002/ece3.70989</v>
      </c>
      <c r="Z50" t="s">
        <v>31</v>
      </c>
      <c r="AA50" t="s">
        <v>253</v>
      </c>
      <c r="AB50" t="s">
        <v>254</v>
      </c>
      <c r="AC50" t="s">
        <v>47</v>
      </c>
      <c r="AD50" t="s">
        <v>855</v>
      </c>
      <c r="AE50" t="str">
        <f>HYPERLINK("https%3A%2F%2Fwww.webofscience.com%2Fwos%2Fwoscc%2Ffull-record%2FWOS:001416381500001","View Full Record in Web of Science")</f>
        <v>View Full Record in Web of Science</v>
      </c>
      <c r="AG50" s="4" t="s">
        <v>3667</v>
      </c>
      <c r="AI50" s="4" t="s">
        <v>3719</v>
      </c>
      <c r="AJ50">
        <v>2</v>
      </c>
      <c r="AK50" t="s">
        <v>3892</v>
      </c>
      <c r="AL50" s="4" t="s">
        <v>3650</v>
      </c>
      <c r="AM50" t="s">
        <v>3893</v>
      </c>
      <c r="AN50" s="4" t="s">
        <v>3639</v>
      </c>
      <c r="AO50" t="s">
        <v>3894</v>
      </c>
      <c r="AP50" s="4" t="s">
        <v>3802</v>
      </c>
      <c r="AQ50" t="s">
        <v>3895</v>
      </c>
      <c r="AR50">
        <v>3</v>
      </c>
      <c r="AS50" s="4" t="s">
        <v>3708</v>
      </c>
      <c r="AT50" t="s">
        <v>3896</v>
      </c>
    </row>
    <row r="51" spans="1:46" ht="20.100000000000001" customHeight="1" x14ac:dyDescent="0.2">
      <c r="A51" t="s">
        <v>856</v>
      </c>
      <c r="B51" t="s">
        <v>857</v>
      </c>
      <c r="C51" t="s">
        <v>858</v>
      </c>
      <c r="D51" t="s">
        <v>367</v>
      </c>
      <c r="E51" t="s">
        <v>859</v>
      </c>
      <c r="F51" t="s">
        <v>860</v>
      </c>
      <c r="G51" t="s">
        <v>861</v>
      </c>
      <c r="H51" t="s">
        <v>862</v>
      </c>
      <c r="I51" t="s">
        <v>863</v>
      </c>
      <c r="J51" t="s">
        <v>864</v>
      </c>
      <c r="K51" s="4" t="s">
        <v>3625</v>
      </c>
      <c r="L51" t="s">
        <v>865</v>
      </c>
      <c r="M51" t="s">
        <v>866</v>
      </c>
      <c r="N51" t="s">
        <v>867</v>
      </c>
      <c r="O51" t="s">
        <v>868</v>
      </c>
      <c r="P51">
        <v>0</v>
      </c>
      <c r="Q51" t="s">
        <v>447</v>
      </c>
      <c r="R51">
        <v>2025</v>
      </c>
      <c r="S51">
        <v>15</v>
      </c>
      <c r="T51">
        <v>4</v>
      </c>
      <c r="U51" t="s">
        <v>31</v>
      </c>
      <c r="V51" t="s">
        <v>31</v>
      </c>
      <c r="W51">
        <v>503</v>
      </c>
      <c r="X51" t="s">
        <v>869</v>
      </c>
      <c r="Y51" t="str">
        <f>HYPERLINK("http://dx.doi.org/10.3390/ani15040503","http://dx.doi.org/10.3390/ani15040503")</f>
        <v>http://dx.doi.org/10.3390/ani15040503</v>
      </c>
      <c r="Z51" t="s">
        <v>31</v>
      </c>
      <c r="AA51" t="s">
        <v>380</v>
      </c>
      <c r="AB51" t="s">
        <v>381</v>
      </c>
      <c r="AC51" t="s">
        <v>47</v>
      </c>
      <c r="AD51" t="s">
        <v>870</v>
      </c>
      <c r="AE51" t="str">
        <f>HYPERLINK("https%3A%2F%2Fwww.webofscience.com%2Fwos%2Fwoscc%2Ffull-record%2FWOS:001429558900001","View Full Record in Web of Science")</f>
        <v>View Full Record in Web of Science</v>
      </c>
      <c r="AG51" s="4" t="s">
        <v>3684</v>
      </c>
      <c r="AH51" s="4" t="s">
        <v>3647</v>
      </c>
      <c r="AI51" s="4" t="s">
        <v>3685</v>
      </c>
      <c r="AJ51">
        <v>3</v>
      </c>
      <c r="AK51" t="s">
        <v>3897</v>
      </c>
      <c r="AL51" s="4" t="s">
        <v>3650</v>
      </c>
      <c r="AM51" t="s">
        <v>3898</v>
      </c>
      <c r="AN51" s="4" t="s">
        <v>3650</v>
      </c>
      <c r="AO51" s="4" t="s">
        <v>3899</v>
      </c>
      <c r="AP51" s="4" t="s">
        <v>3706</v>
      </c>
      <c r="AQ51" t="s">
        <v>3900</v>
      </c>
      <c r="AR51" t="s">
        <v>3901</v>
      </c>
      <c r="AS51" s="4" t="s">
        <v>3653</v>
      </c>
      <c r="AT51" t="s">
        <v>3902</v>
      </c>
    </row>
    <row r="52" spans="1:46" ht="20.100000000000001" customHeight="1" x14ac:dyDescent="0.2">
      <c r="A52" t="s">
        <v>871</v>
      </c>
      <c r="B52" t="s">
        <v>872</v>
      </c>
      <c r="C52" t="s">
        <v>873</v>
      </c>
      <c r="D52" t="s">
        <v>874</v>
      </c>
      <c r="E52" t="s">
        <v>875</v>
      </c>
      <c r="F52" t="s">
        <v>876</v>
      </c>
      <c r="G52" t="s">
        <v>877</v>
      </c>
      <c r="H52" t="s">
        <v>878</v>
      </c>
      <c r="I52" t="s">
        <v>879</v>
      </c>
      <c r="J52" t="s">
        <v>880</v>
      </c>
      <c r="K52" t="s">
        <v>3903</v>
      </c>
      <c r="L52" t="s">
        <v>881</v>
      </c>
      <c r="M52" t="s">
        <v>31</v>
      </c>
      <c r="N52" t="s">
        <v>31</v>
      </c>
      <c r="O52" t="s">
        <v>31</v>
      </c>
      <c r="P52">
        <v>2</v>
      </c>
      <c r="Q52" t="s">
        <v>882</v>
      </c>
      <c r="R52">
        <v>2025</v>
      </c>
      <c r="S52">
        <v>216</v>
      </c>
      <c r="T52" t="s">
        <v>31</v>
      </c>
      <c r="U52" t="s">
        <v>31</v>
      </c>
      <c r="V52" t="s">
        <v>31</v>
      </c>
      <c r="W52">
        <v>118037</v>
      </c>
      <c r="X52" t="s">
        <v>883</v>
      </c>
      <c r="Y52" t="str">
        <f>HYPERLINK("http://dx.doi.org/10.1016/j.marpolbul.2025.118037","http://dx.doi.org/10.1016/j.marpolbul.2025.118037")</f>
        <v>http://dx.doi.org/10.1016/j.marpolbul.2025.118037</v>
      </c>
      <c r="Z52" t="s">
        <v>884</v>
      </c>
      <c r="AA52" t="s">
        <v>885</v>
      </c>
      <c r="AB52" t="s">
        <v>288</v>
      </c>
      <c r="AC52" t="s">
        <v>47</v>
      </c>
      <c r="AD52" t="s">
        <v>886</v>
      </c>
      <c r="AE52" t="str">
        <f>HYPERLINK("https%3A%2F%2Fwww.webofscience.com%2Fwos%2Fwoscc%2Ffull-record%2FWOS:001482394700001","View Full Record in Web of Science")</f>
        <v>View Full Record in Web of Science</v>
      </c>
      <c r="AG52" s="4" t="s">
        <v>3656</v>
      </c>
      <c r="AI52" s="4" t="s">
        <v>3632</v>
      </c>
      <c r="AJ52">
        <v>1</v>
      </c>
      <c r="AK52" t="s">
        <v>3904</v>
      </c>
      <c r="AL52" s="4" t="s">
        <v>3639</v>
      </c>
      <c r="AM52" t="s">
        <v>3905</v>
      </c>
      <c r="AN52" s="4" t="s">
        <v>3639</v>
      </c>
      <c r="AP52" s="4" t="s">
        <v>3651</v>
      </c>
      <c r="AQ52" t="s">
        <v>3906</v>
      </c>
      <c r="AR52">
        <v>60</v>
      </c>
      <c r="AS52" s="4" t="s">
        <v>3653</v>
      </c>
      <c r="AT52" s="4" t="s">
        <v>3907</v>
      </c>
    </row>
    <row r="53" spans="1:46" ht="20.100000000000001" customHeight="1" x14ac:dyDescent="0.2">
      <c r="A53" t="s">
        <v>887</v>
      </c>
      <c r="B53" t="s">
        <v>888</v>
      </c>
      <c r="C53" t="s">
        <v>889</v>
      </c>
      <c r="D53" t="s">
        <v>890</v>
      </c>
      <c r="E53" t="s">
        <v>891</v>
      </c>
      <c r="F53" t="s">
        <v>892</v>
      </c>
      <c r="G53" t="s">
        <v>893</v>
      </c>
      <c r="H53" t="s">
        <v>894</v>
      </c>
      <c r="I53" t="s">
        <v>31</v>
      </c>
      <c r="J53" t="s">
        <v>895</v>
      </c>
      <c r="K53" t="s">
        <v>3908</v>
      </c>
      <c r="L53" t="s">
        <v>896</v>
      </c>
      <c r="M53" t="s">
        <v>31</v>
      </c>
      <c r="N53" t="s">
        <v>31</v>
      </c>
      <c r="O53" t="s">
        <v>31</v>
      </c>
      <c r="P53">
        <v>9</v>
      </c>
      <c r="Q53" t="s">
        <v>79</v>
      </c>
      <c r="R53">
        <v>2025</v>
      </c>
      <c r="S53">
        <v>19</v>
      </c>
      <c r="T53" t="s">
        <v>31</v>
      </c>
      <c r="U53" t="s">
        <v>31</v>
      </c>
      <c r="V53" t="s">
        <v>31</v>
      </c>
      <c r="W53">
        <v>100829</v>
      </c>
      <c r="X53" t="s">
        <v>897</v>
      </c>
      <c r="Y53" t="str">
        <f>HYPERLINK("http://dx.doi.org/10.1016/j.hazadv.2025.100829","http://dx.doi.org/10.1016/j.hazadv.2025.100829")</f>
        <v>http://dx.doi.org/10.1016/j.hazadv.2025.100829</v>
      </c>
      <c r="Z53" t="s">
        <v>884</v>
      </c>
      <c r="AA53" t="s">
        <v>898</v>
      </c>
      <c r="AB53" t="s">
        <v>899</v>
      </c>
      <c r="AC53" t="s">
        <v>47</v>
      </c>
      <c r="AD53" t="s">
        <v>900</v>
      </c>
      <c r="AE53" t="str">
        <f>HYPERLINK("https%3A%2F%2Fwww.webofscience.com%2Fwos%2Fwoscc%2Ffull-record%2FWOS:001540137200002","View Full Record in Web of Science")</f>
        <v>View Full Record in Web of Science</v>
      </c>
      <c r="AG53" s="4" t="s">
        <v>3656</v>
      </c>
      <c r="AH53" s="4" t="s">
        <v>3637</v>
      </c>
      <c r="AI53" s="4" t="s">
        <v>3632</v>
      </c>
      <c r="AJ53">
        <v>0</v>
      </c>
      <c r="AK53" s="6" t="s">
        <v>3909</v>
      </c>
      <c r="AL53" s="4" t="s">
        <v>3639</v>
      </c>
      <c r="AM53" t="s">
        <v>3910</v>
      </c>
      <c r="AN53" s="4" t="s">
        <v>3639</v>
      </c>
      <c r="AO53" t="s">
        <v>3911</v>
      </c>
      <c r="AP53" s="4" t="s">
        <v>3635</v>
      </c>
      <c r="AQ53" t="s">
        <v>3912</v>
      </c>
      <c r="AR53" t="s">
        <v>3672</v>
      </c>
      <c r="AS53" s="4" t="s">
        <v>3633</v>
      </c>
      <c r="AT53" s="6" t="s">
        <v>3913</v>
      </c>
    </row>
    <row r="54" spans="1:46" ht="20.100000000000001" customHeight="1" x14ac:dyDescent="0.2">
      <c r="A54" t="s">
        <v>901</v>
      </c>
      <c r="B54" t="s">
        <v>902</v>
      </c>
      <c r="C54" t="s">
        <v>903</v>
      </c>
      <c r="D54" t="s">
        <v>88</v>
      </c>
      <c r="E54" t="s">
        <v>31</v>
      </c>
      <c r="F54" t="s">
        <v>904</v>
      </c>
      <c r="G54" t="s">
        <v>905</v>
      </c>
      <c r="H54" t="s">
        <v>906</v>
      </c>
      <c r="I54" t="s">
        <v>907</v>
      </c>
      <c r="J54" t="s">
        <v>93</v>
      </c>
      <c r="K54" t="s">
        <v>3663</v>
      </c>
      <c r="L54" t="s">
        <v>94</v>
      </c>
      <c r="M54" t="s">
        <v>908</v>
      </c>
      <c r="N54" t="s">
        <v>909</v>
      </c>
      <c r="O54" t="s">
        <v>910</v>
      </c>
      <c r="P54">
        <v>2</v>
      </c>
      <c r="Q54" t="s">
        <v>911</v>
      </c>
      <c r="R54">
        <v>2025</v>
      </c>
      <c r="S54">
        <v>20</v>
      </c>
      <c r="T54">
        <v>1</v>
      </c>
      <c r="U54" t="s">
        <v>31</v>
      </c>
      <c r="V54" t="s">
        <v>31</v>
      </c>
      <c r="W54" t="s">
        <v>912</v>
      </c>
      <c r="X54" t="s">
        <v>913</v>
      </c>
      <c r="Y54" t="str">
        <f>HYPERLINK("http://dx.doi.org/10.1371/journal.pone.0316519","http://dx.doi.org/10.1371/journal.pone.0316519")</f>
        <v>http://dx.doi.org/10.1371/journal.pone.0316519</v>
      </c>
      <c r="Z54" t="s">
        <v>31</v>
      </c>
      <c r="AA54" t="s">
        <v>101</v>
      </c>
      <c r="AB54" t="s">
        <v>102</v>
      </c>
      <c r="AC54" t="s">
        <v>47</v>
      </c>
      <c r="AD54" t="s">
        <v>914</v>
      </c>
      <c r="AE54" t="str">
        <f>HYPERLINK("https%3A%2F%2Fwww.webofscience.com%2Fwos%2Fwoscc%2Ffull-record%2FWOS:001492214200039","View Full Record in Web of Science")</f>
        <v>View Full Record in Web of Science</v>
      </c>
      <c r="AG54" s="4" t="s">
        <v>3658</v>
      </c>
      <c r="AI54" s="4" t="s">
        <v>3700</v>
      </c>
      <c r="AJ54">
        <v>1</v>
      </c>
      <c r="AK54" t="s">
        <v>3943</v>
      </c>
      <c r="AL54" s="4" t="s">
        <v>3639</v>
      </c>
      <c r="AM54" t="s">
        <v>3914</v>
      </c>
      <c r="AN54" s="4" t="s">
        <v>3639</v>
      </c>
      <c r="AO54" t="s">
        <v>3915</v>
      </c>
      <c r="AP54" s="4" t="s">
        <v>3651</v>
      </c>
      <c r="AQ54" s="4" t="s">
        <v>3917</v>
      </c>
      <c r="AR54">
        <v>295</v>
      </c>
      <c r="AS54" s="4" t="s">
        <v>3918</v>
      </c>
      <c r="AT54" t="s">
        <v>3916</v>
      </c>
    </row>
    <row r="55" spans="1:46" ht="20.100000000000001" customHeight="1" x14ac:dyDescent="0.2">
      <c r="A55" t="s">
        <v>915</v>
      </c>
      <c r="B55" t="s">
        <v>916</v>
      </c>
      <c r="C55" t="s">
        <v>917</v>
      </c>
      <c r="D55" t="s">
        <v>624</v>
      </c>
      <c r="E55" t="s">
        <v>918</v>
      </c>
      <c r="F55" t="s">
        <v>919</v>
      </c>
      <c r="G55" t="s">
        <v>920</v>
      </c>
      <c r="H55" t="s">
        <v>921</v>
      </c>
      <c r="I55" t="s">
        <v>922</v>
      </c>
      <c r="J55" t="s">
        <v>923</v>
      </c>
      <c r="K55" t="s">
        <v>3919</v>
      </c>
      <c r="L55" t="s">
        <v>924</v>
      </c>
      <c r="M55" t="s">
        <v>31</v>
      </c>
      <c r="N55" t="s">
        <v>31</v>
      </c>
      <c r="O55" t="s">
        <v>31</v>
      </c>
      <c r="P55">
        <v>0</v>
      </c>
      <c r="Q55" t="s">
        <v>925</v>
      </c>
      <c r="R55">
        <v>2025</v>
      </c>
      <c r="S55">
        <v>45</v>
      </c>
      <c r="T55" t="s">
        <v>31</v>
      </c>
      <c r="U55" t="s">
        <v>31</v>
      </c>
      <c r="V55" t="s">
        <v>31</v>
      </c>
      <c r="W55">
        <v>103107</v>
      </c>
      <c r="X55" t="s">
        <v>926</v>
      </c>
      <c r="Y55" t="str">
        <f>HYPERLINK("http://dx.doi.org/10.1016/j.aqrep.2025.103107","http://dx.doi.org/10.1016/j.aqrep.2025.103107")</f>
        <v>http://dx.doi.org/10.1016/j.aqrep.2025.103107</v>
      </c>
      <c r="Z55" t="s">
        <v>884</v>
      </c>
      <c r="AA55" t="s">
        <v>218</v>
      </c>
      <c r="AB55" t="s">
        <v>218</v>
      </c>
      <c r="AC55" t="s">
        <v>47</v>
      </c>
      <c r="AD55" t="s">
        <v>927</v>
      </c>
      <c r="AE55" t="str">
        <f>HYPERLINK("https%3A%2F%2Fwww.webofscience.com%2Fwos%2Fwoscc%2Ffull-record%2FWOS:001576793800001","View Full Record in Web of Science")</f>
        <v>View Full Record in Web of Science</v>
      </c>
      <c r="AG55" s="4" t="s">
        <v>3694</v>
      </c>
      <c r="AH55" s="4" t="s">
        <v>3657</v>
      </c>
      <c r="AI55" s="4" t="s">
        <v>3754</v>
      </c>
      <c r="AJ55">
        <v>1</v>
      </c>
      <c r="AK55" t="s">
        <v>3920</v>
      </c>
      <c r="AL55" s="4" t="s">
        <v>3650</v>
      </c>
      <c r="AM55" t="s">
        <v>3921</v>
      </c>
      <c r="AN55" s="4" t="s">
        <v>3650</v>
      </c>
      <c r="AO55" t="s">
        <v>3922</v>
      </c>
      <c r="AP55" s="4" t="s">
        <v>3651</v>
      </c>
      <c r="AQ55" t="s">
        <v>3923</v>
      </c>
      <c r="AR55">
        <v>150</v>
      </c>
      <c r="AS55" s="4" t="s">
        <v>3653</v>
      </c>
      <c r="AT55" t="s">
        <v>3924</v>
      </c>
    </row>
    <row r="56" spans="1:46" ht="20.100000000000001" customHeight="1" x14ac:dyDescent="0.2">
      <c r="A56" t="s">
        <v>928</v>
      </c>
      <c r="B56" t="s">
        <v>929</v>
      </c>
      <c r="C56" t="s">
        <v>930</v>
      </c>
      <c r="D56" t="s">
        <v>931</v>
      </c>
      <c r="E56" t="s">
        <v>932</v>
      </c>
      <c r="F56" t="s">
        <v>933</v>
      </c>
      <c r="G56" t="s">
        <v>934</v>
      </c>
      <c r="H56" t="s">
        <v>935</v>
      </c>
      <c r="I56" t="s">
        <v>936</v>
      </c>
      <c r="J56" t="s">
        <v>937</v>
      </c>
      <c r="K56" t="s">
        <v>3691</v>
      </c>
      <c r="L56" t="s">
        <v>938</v>
      </c>
      <c r="M56" t="s">
        <v>939</v>
      </c>
      <c r="N56" t="s">
        <v>940</v>
      </c>
      <c r="O56" t="s">
        <v>941</v>
      </c>
      <c r="P56">
        <v>3</v>
      </c>
      <c r="Q56" t="s">
        <v>942</v>
      </c>
      <c r="R56">
        <v>2025</v>
      </c>
      <c r="S56">
        <v>328</v>
      </c>
      <c r="T56">
        <v>1</v>
      </c>
      <c r="U56" t="s">
        <v>943</v>
      </c>
      <c r="V56" t="s">
        <v>944</v>
      </c>
      <c r="W56" t="s">
        <v>31</v>
      </c>
      <c r="X56" t="s">
        <v>945</v>
      </c>
      <c r="Y56" t="str">
        <f>HYPERLINK("http://dx.doi.org/10.1152/ajpendo.00251.2024","http://dx.doi.org/10.1152/ajpendo.00251.2024")</f>
        <v>http://dx.doi.org/10.1152/ajpendo.00251.2024</v>
      </c>
      <c r="Z56" t="s">
        <v>31</v>
      </c>
      <c r="AA56" t="s">
        <v>946</v>
      </c>
      <c r="AB56" t="s">
        <v>946</v>
      </c>
      <c r="AC56" t="s">
        <v>47</v>
      </c>
      <c r="AD56" t="s">
        <v>947</v>
      </c>
      <c r="AE56" t="str">
        <f>HYPERLINK("https%3A%2F%2Fwww.webofscience.com%2Fwos%2Fwoscc%2Ffull-record%2FWOS:001486691900001","View Full Record in Web of Science")</f>
        <v>View Full Record in Web of Science</v>
      </c>
      <c r="AG56" s="4" t="s">
        <v>3684</v>
      </c>
      <c r="AH56" s="4" t="s">
        <v>3694</v>
      </c>
      <c r="AI56" s="4" t="s">
        <v>3685</v>
      </c>
      <c r="AJ56">
        <v>1</v>
      </c>
      <c r="AK56" t="s">
        <v>3944</v>
      </c>
      <c r="AL56" s="4" t="s">
        <v>3650</v>
      </c>
      <c r="AM56" t="s">
        <v>3925</v>
      </c>
      <c r="AN56" s="4" t="s">
        <v>3650</v>
      </c>
      <c r="AO56" t="s">
        <v>3926</v>
      </c>
      <c r="AP56" s="4" t="s">
        <v>3706</v>
      </c>
      <c r="AQ56" t="s">
        <v>3927</v>
      </c>
      <c r="AR56">
        <v>22</v>
      </c>
      <c r="AS56" s="4" t="s">
        <v>3653</v>
      </c>
      <c r="AT56" s="6" t="s">
        <v>3928</v>
      </c>
    </row>
    <row r="57" spans="1:46" ht="20.100000000000001" customHeight="1" x14ac:dyDescent="0.2">
      <c r="A57" t="s">
        <v>948</v>
      </c>
      <c r="B57" t="s">
        <v>949</v>
      </c>
      <c r="C57" t="s">
        <v>950</v>
      </c>
      <c r="D57" t="s">
        <v>951</v>
      </c>
      <c r="E57" t="s">
        <v>952</v>
      </c>
      <c r="F57" t="s">
        <v>953</v>
      </c>
      <c r="G57" t="s">
        <v>954</v>
      </c>
      <c r="H57" t="s">
        <v>955</v>
      </c>
      <c r="I57" t="s">
        <v>956</v>
      </c>
      <c r="J57" t="s">
        <v>957</v>
      </c>
      <c r="K57" t="s">
        <v>3691</v>
      </c>
      <c r="L57" t="s">
        <v>229</v>
      </c>
      <c r="M57" t="s">
        <v>958</v>
      </c>
      <c r="N57" t="s">
        <v>959</v>
      </c>
      <c r="O57" t="s">
        <v>960</v>
      </c>
      <c r="P57">
        <v>3</v>
      </c>
      <c r="Q57" t="s">
        <v>635</v>
      </c>
      <c r="R57">
        <v>2025</v>
      </c>
      <c r="S57">
        <v>607</v>
      </c>
      <c r="T57" t="s">
        <v>31</v>
      </c>
      <c r="U57" t="s">
        <v>31</v>
      </c>
      <c r="V57" t="s">
        <v>31</v>
      </c>
      <c r="W57">
        <v>742643</v>
      </c>
      <c r="X57" t="s">
        <v>961</v>
      </c>
      <c r="Y57" t="str">
        <f>HYPERLINK("http://dx.doi.org/10.1016/j.aquaculture.2025.742643","http://dx.doi.org/10.1016/j.aquaculture.2025.742643")</f>
        <v>http://dx.doi.org/10.1016/j.aquaculture.2025.742643</v>
      </c>
      <c r="Z57" t="s">
        <v>884</v>
      </c>
      <c r="AA57" t="s">
        <v>537</v>
      </c>
      <c r="AB57" t="s">
        <v>537</v>
      </c>
      <c r="AC57" t="s">
        <v>47</v>
      </c>
      <c r="AD57" t="s">
        <v>962</v>
      </c>
      <c r="AE57" t="str">
        <f>HYPERLINK("https%3A%2F%2Fwww.webofscience.com%2Fwos%2Fwoscc%2Ffull-record%2FWOS:001488105600001","View Full Record in Web of Science")</f>
        <v>View Full Record in Web of Science</v>
      </c>
      <c r="AG57" t="s">
        <v>3684</v>
      </c>
      <c r="AH57" t="s">
        <v>3694</v>
      </c>
      <c r="AI57" t="s">
        <v>3685</v>
      </c>
      <c r="AJ57">
        <v>1</v>
      </c>
      <c r="AK57" t="s">
        <v>3945</v>
      </c>
      <c r="AL57" t="s">
        <v>3650</v>
      </c>
      <c r="AM57" t="s">
        <v>3864</v>
      </c>
      <c r="AN57" t="s">
        <v>3650</v>
      </c>
      <c r="AO57" t="s">
        <v>3866</v>
      </c>
      <c r="AP57" t="s">
        <v>3696</v>
      </c>
      <c r="AQ57" t="s">
        <v>3867</v>
      </c>
      <c r="AR57">
        <v>9</v>
      </c>
      <c r="AS57" t="s">
        <v>3653</v>
      </c>
      <c r="AT57" t="s">
        <v>3865</v>
      </c>
    </row>
    <row r="58" spans="1:46" ht="20.100000000000001" customHeight="1" x14ac:dyDescent="0.2">
      <c r="A58" t="s">
        <v>963</v>
      </c>
      <c r="B58" t="s">
        <v>964</v>
      </c>
      <c r="C58" t="s">
        <v>965</v>
      </c>
      <c r="D58" t="s">
        <v>966</v>
      </c>
      <c r="E58" t="s">
        <v>967</v>
      </c>
      <c r="F58" t="s">
        <v>968</v>
      </c>
      <c r="G58" t="s">
        <v>969</v>
      </c>
      <c r="H58" t="s">
        <v>970</v>
      </c>
      <c r="I58" t="s">
        <v>971</v>
      </c>
      <c r="J58" t="s">
        <v>972</v>
      </c>
      <c r="K58" t="s">
        <v>3692</v>
      </c>
      <c r="L58" t="s">
        <v>31</v>
      </c>
      <c r="M58" t="s">
        <v>31</v>
      </c>
      <c r="N58" t="s">
        <v>31</v>
      </c>
      <c r="O58" t="s">
        <v>31</v>
      </c>
      <c r="P58">
        <v>1</v>
      </c>
      <c r="Q58" t="s">
        <v>31</v>
      </c>
      <c r="R58">
        <v>2025</v>
      </c>
      <c r="S58">
        <v>45</v>
      </c>
      <c r="T58">
        <v>3</v>
      </c>
      <c r="U58" t="s">
        <v>31</v>
      </c>
      <c r="V58" t="s">
        <v>31</v>
      </c>
      <c r="W58">
        <v>140570</v>
      </c>
      <c r="X58" t="s">
        <v>973</v>
      </c>
      <c r="Y58" t="str">
        <f>HYPERLINK("http://dx.doi.org/10.48045/001c.140570","http://dx.doi.org/10.48045/001c.140570")</f>
        <v>http://dx.doi.org/10.48045/001c.140570</v>
      </c>
      <c r="Z58" t="s">
        <v>31</v>
      </c>
      <c r="AA58" t="s">
        <v>537</v>
      </c>
      <c r="AB58" t="s">
        <v>537</v>
      </c>
      <c r="AC58" t="s">
        <v>47</v>
      </c>
      <c r="AD58" t="s">
        <v>974</v>
      </c>
      <c r="AE58" t="str">
        <f>HYPERLINK("https%3A%2F%2Fwww.webofscience.com%2Fwos%2Fwoscc%2Ffull-record%2FWOS:001641106300001","View Full Record in Web of Science")</f>
        <v>View Full Record in Web of Science</v>
      </c>
      <c r="AG58" t="s">
        <v>3684</v>
      </c>
      <c r="AI58" t="s">
        <v>3685</v>
      </c>
      <c r="AJ58">
        <v>1</v>
      </c>
      <c r="AK58" t="s">
        <v>3929</v>
      </c>
      <c r="AL58" s="4" t="s">
        <v>3650</v>
      </c>
      <c r="AM58" t="s">
        <v>3947</v>
      </c>
      <c r="AN58" t="s">
        <v>3639</v>
      </c>
      <c r="AO58" t="s">
        <v>3930</v>
      </c>
      <c r="AP58" t="s">
        <v>3635</v>
      </c>
      <c r="AQ58" t="s">
        <v>3931</v>
      </c>
      <c r="AR58">
        <v>1</v>
      </c>
      <c r="AS58" t="s">
        <v>3633</v>
      </c>
      <c r="AT58" t="s">
        <v>3932</v>
      </c>
    </row>
    <row r="59" spans="1:46" ht="20.100000000000001" customHeight="1" x14ac:dyDescent="0.2">
      <c r="A59" t="s">
        <v>975</v>
      </c>
      <c r="B59" t="s">
        <v>976</v>
      </c>
      <c r="C59" t="s">
        <v>977</v>
      </c>
      <c r="D59" t="s">
        <v>542</v>
      </c>
      <c r="E59" t="s">
        <v>978</v>
      </c>
      <c r="F59" t="s">
        <v>979</v>
      </c>
      <c r="G59" t="s">
        <v>980</v>
      </c>
      <c r="H59" t="s">
        <v>981</v>
      </c>
      <c r="I59" t="s">
        <v>982</v>
      </c>
      <c r="J59" t="s">
        <v>983</v>
      </c>
      <c r="K59" t="s">
        <v>3625</v>
      </c>
      <c r="L59" t="s">
        <v>984</v>
      </c>
      <c r="M59" t="s">
        <v>31</v>
      </c>
      <c r="N59" t="s">
        <v>31</v>
      </c>
      <c r="O59" t="s">
        <v>31</v>
      </c>
      <c r="P59">
        <v>3</v>
      </c>
      <c r="Q59" t="s">
        <v>985</v>
      </c>
      <c r="R59">
        <v>2024</v>
      </c>
      <c r="S59">
        <v>11</v>
      </c>
      <c r="T59" t="s">
        <v>31</v>
      </c>
      <c r="U59" t="s">
        <v>31</v>
      </c>
      <c r="V59" t="s">
        <v>31</v>
      </c>
      <c r="W59">
        <v>1519412</v>
      </c>
      <c r="X59" t="s">
        <v>986</v>
      </c>
      <c r="Y59" t="str">
        <f>HYPERLINK("http://dx.doi.org/10.3389/fmars.2024.1519412","http://dx.doi.org/10.3389/fmars.2024.1519412")</f>
        <v>http://dx.doi.org/10.3389/fmars.2024.1519412</v>
      </c>
      <c r="Z59" t="s">
        <v>31</v>
      </c>
      <c r="AA59" t="s">
        <v>554</v>
      </c>
      <c r="AB59" t="s">
        <v>555</v>
      </c>
      <c r="AC59" t="s">
        <v>47</v>
      </c>
      <c r="AD59" t="s">
        <v>987</v>
      </c>
      <c r="AE59" t="str">
        <f>HYPERLINK("https%3A%2F%2Fwww.webofscience.com%2Fwos%2Fwoscc%2Ffull-record%2FWOS:001390467100001","View Full Record in Web of Science")</f>
        <v>View Full Record in Web of Science</v>
      </c>
      <c r="AG59" t="s">
        <v>3656</v>
      </c>
      <c r="AH59" t="s">
        <v>3667</v>
      </c>
      <c r="AI59" t="s">
        <v>3700</v>
      </c>
      <c r="AJ59">
        <v>2</v>
      </c>
      <c r="AK59" s="6" t="s">
        <v>3933</v>
      </c>
      <c r="AL59" t="s">
        <v>3735</v>
      </c>
      <c r="AM59" t="s">
        <v>3934</v>
      </c>
      <c r="AN59" t="s">
        <v>3650</v>
      </c>
      <c r="AO59" t="s">
        <v>3935</v>
      </c>
      <c r="AP59" t="s">
        <v>3802</v>
      </c>
      <c r="AQ59" t="s">
        <v>3936</v>
      </c>
      <c r="AR59">
        <v>2</v>
      </c>
      <c r="AS59" t="s">
        <v>3708</v>
      </c>
      <c r="AT59" s="6" t="s">
        <v>3937</v>
      </c>
    </row>
    <row r="60" spans="1:46" ht="20.100000000000001" customHeight="1" x14ac:dyDescent="0.2">
      <c r="A60" t="s">
        <v>988</v>
      </c>
      <c r="B60" t="s">
        <v>989</v>
      </c>
      <c r="C60" t="s">
        <v>990</v>
      </c>
      <c r="D60" t="s">
        <v>951</v>
      </c>
      <c r="E60" t="s">
        <v>991</v>
      </c>
      <c r="F60" t="s">
        <v>992</v>
      </c>
      <c r="G60" t="s">
        <v>993</v>
      </c>
      <c r="H60" t="s">
        <v>994</v>
      </c>
      <c r="I60" t="s">
        <v>995</v>
      </c>
      <c r="J60" t="s">
        <v>996</v>
      </c>
      <c r="K60" t="s">
        <v>3731</v>
      </c>
      <c r="L60" t="s">
        <v>997</v>
      </c>
      <c r="M60" t="s">
        <v>998</v>
      </c>
      <c r="N60" t="s">
        <v>999</v>
      </c>
      <c r="O60" t="s">
        <v>1000</v>
      </c>
      <c r="P60">
        <v>4</v>
      </c>
      <c r="Q60" t="s">
        <v>1001</v>
      </c>
      <c r="R60">
        <v>2025</v>
      </c>
      <c r="S60">
        <v>598</v>
      </c>
      <c r="T60" t="s">
        <v>31</v>
      </c>
      <c r="U60" t="s">
        <v>31</v>
      </c>
      <c r="V60" t="s">
        <v>31</v>
      </c>
      <c r="W60">
        <v>741958</v>
      </c>
      <c r="X60" t="s">
        <v>1002</v>
      </c>
      <c r="Y60" t="str">
        <f>HYPERLINK("http://dx.doi.org/10.1016/j.aquaculture.2024.741958","http://dx.doi.org/10.1016/j.aquaculture.2024.741958")</f>
        <v>http://dx.doi.org/10.1016/j.aquaculture.2024.741958</v>
      </c>
      <c r="Z60" t="s">
        <v>1003</v>
      </c>
      <c r="AA60" t="s">
        <v>537</v>
      </c>
      <c r="AB60" t="s">
        <v>537</v>
      </c>
      <c r="AC60" t="s">
        <v>47</v>
      </c>
      <c r="AD60" t="s">
        <v>1004</v>
      </c>
      <c r="AE60" t="str">
        <f>HYPERLINK("https%3A%2F%2Fwww.webofscience.com%2Fwos%2Fwoscc%2Ffull-record%2FWOS:001377406800001","View Full Record in Web of Science")</f>
        <v>View Full Record in Web of Science</v>
      </c>
      <c r="AG60" t="s">
        <v>3694</v>
      </c>
      <c r="AI60" t="s">
        <v>3700</v>
      </c>
      <c r="AJ60">
        <v>1</v>
      </c>
      <c r="AK60" t="s">
        <v>3946</v>
      </c>
      <c r="AL60" t="s">
        <v>3639</v>
      </c>
      <c r="AM60" t="s">
        <v>3938</v>
      </c>
      <c r="AN60" t="s">
        <v>3639</v>
      </c>
      <c r="AO60" t="s">
        <v>3939</v>
      </c>
      <c r="AP60" t="s">
        <v>3696</v>
      </c>
      <c r="AQ60" t="s">
        <v>3940</v>
      </c>
      <c r="AR60" t="s">
        <v>3941</v>
      </c>
      <c r="AS60" t="s">
        <v>3653</v>
      </c>
      <c r="AT60" t="s">
        <v>3942</v>
      </c>
    </row>
    <row r="61" spans="1:46" ht="20.100000000000001" customHeight="1" x14ac:dyDescent="0.2">
      <c r="A61" t="s">
        <v>1005</v>
      </c>
      <c r="B61" t="s">
        <v>1006</v>
      </c>
      <c r="C61" t="s">
        <v>1007</v>
      </c>
      <c r="D61" t="s">
        <v>1008</v>
      </c>
      <c r="E61" t="s">
        <v>1009</v>
      </c>
      <c r="F61" t="s">
        <v>1010</v>
      </c>
      <c r="G61" t="s">
        <v>1011</v>
      </c>
      <c r="H61" t="s">
        <v>1012</v>
      </c>
      <c r="I61" t="s">
        <v>426</v>
      </c>
      <c r="J61" t="s">
        <v>1013</v>
      </c>
      <c r="K61" t="s">
        <v>3729</v>
      </c>
      <c r="L61" t="s">
        <v>1014</v>
      </c>
      <c r="M61" t="s">
        <v>31</v>
      </c>
      <c r="N61" t="s">
        <v>31</v>
      </c>
      <c r="O61" t="s">
        <v>31</v>
      </c>
      <c r="P61">
        <v>1</v>
      </c>
      <c r="Q61" t="s">
        <v>1015</v>
      </c>
      <c r="R61">
        <v>2024</v>
      </c>
      <c r="S61">
        <v>46</v>
      </c>
      <c r="T61">
        <v>4</v>
      </c>
      <c r="U61">
        <v>263</v>
      </c>
      <c r="V61">
        <v>270</v>
      </c>
      <c r="W61" t="s">
        <v>31</v>
      </c>
      <c r="X61" t="s">
        <v>1016</v>
      </c>
      <c r="Y61" t="str">
        <f>HYPERLINK("http://dx.doi.org/10.2989/1814232X.2024.2424249","http://dx.doi.org/10.2989/1814232X.2024.2424249")</f>
        <v>http://dx.doi.org/10.2989/1814232X.2024.2424249</v>
      </c>
      <c r="Z61" t="s">
        <v>1003</v>
      </c>
      <c r="AA61" t="s">
        <v>119</v>
      </c>
      <c r="AB61" t="s">
        <v>119</v>
      </c>
      <c r="AC61" t="s">
        <v>47</v>
      </c>
      <c r="AD61" t="s">
        <v>1017</v>
      </c>
      <c r="AE61" t="str">
        <f>HYPERLINK("https%3A%2F%2Fwww.webofscience.com%2Fwos%2Fwoscc%2Ffull-record%2FWOS:001375063100001","View Full Record in Web of Science")</f>
        <v>View Full Record in Web of Science</v>
      </c>
      <c r="AG61" s="4" t="s">
        <v>3658</v>
      </c>
      <c r="AH61" s="4" t="s">
        <v>3637</v>
      </c>
      <c r="AI61" s="4" t="s">
        <v>3700</v>
      </c>
      <c r="AJ61">
        <v>1</v>
      </c>
      <c r="AK61" t="s">
        <v>3949</v>
      </c>
      <c r="AL61" t="s">
        <v>3639</v>
      </c>
      <c r="AN61" t="s">
        <v>3639</v>
      </c>
      <c r="AP61" t="s">
        <v>3635</v>
      </c>
      <c r="AQ61" t="s">
        <v>3950</v>
      </c>
      <c r="AR61">
        <v>600</v>
      </c>
      <c r="AS61" t="s">
        <v>3633</v>
      </c>
      <c r="AT61" t="s">
        <v>3951</v>
      </c>
    </row>
    <row r="62" spans="1:46" ht="20.100000000000001" customHeight="1" x14ac:dyDescent="0.2">
      <c r="A62" t="s">
        <v>1018</v>
      </c>
      <c r="B62" t="s">
        <v>1019</v>
      </c>
      <c r="C62" t="s">
        <v>1020</v>
      </c>
      <c r="D62" t="s">
        <v>1021</v>
      </c>
      <c r="E62" t="s">
        <v>1022</v>
      </c>
      <c r="F62" t="s">
        <v>1023</v>
      </c>
      <c r="G62" t="s">
        <v>1024</v>
      </c>
      <c r="H62" t="s">
        <v>1025</v>
      </c>
      <c r="I62" t="s">
        <v>1026</v>
      </c>
      <c r="J62" t="s">
        <v>1027</v>
      </c>
      <c r="K62" t="s">
        <v>3625</v>
      </c>
      <c r="L62" t="s">
        <v>1028</v>
      </c>
      <c r="M62" t="s">
        <v>1029</v>
      </c>
      <c r="N62" t="s">
        <v>1030</v>
      </c>
      <c r="O62" t="s">
        <v>1031</v>
      </c>
      <c r="P62">
        <v>20</v>
      </c>
      <c r="Q62" t="s">
        <v>452</v>
      </c>
      <c r="R62">
        <v>2024</v>
      </c>
      <c r="S62">
        <v>16</v>
      </c>
      <c r="T62">
        <v>12</v>
      </c>
      <c r="U62" t="s">
        <v>31</v>
      </c>
      <c r="V62" t="s">
        <v>31</v>
      </c>
      <c r="W62">
        <v>724</v>
      </c>
      <c r="X62" t="s">
        <v>1032</v>
      </c>
      <c r="Y62" t="str">
        <f>HYPERLINK("http://dx.doi.org/10.3390/d16120724","http://dx.doi.org/10.3390/d16120724")</f>
        <v>http://dx.doi.org/10.3390/d16120724</v>
      </c>
      <c r="Z62" t="s">
        <v>31</v>
      </c>
      <c r="AA62" t="s">
        <v>1033</v>
      </c>
      <c r="AB62" t="s">
        <v>1034</v>
      </c>
      <c r="AC62" t="s">
        <v>47</v>
      </c>
      <c r="AD62" t="s">
        <v>1035</v>
      </c>
      <c r="AE62" t="str">
        <f>HYPERLINK("https%3A%2F%2Fwww.webofscience.com%2Fwos%2Fwoscc%2Ffull-record%2FWOS:001384948700001","View Full Record in Web of Science")</f>
        <v>View Full Record in Web of Science</v>
      </c>
      <c r="AG62" t="s">
        <v>3667</v>
      </c>
      <c r="AI62" t="s">
        <v>3719</v>
      </c>
      <c r="AJ62">
        <v>2</v>
      </c>
      <c r="AK62" s="6" t="s">
        <v>3952</v>
      </c>
      <c r="AL62" t="s">
        <v>3735</v>
      </c>
      <c r="AM62" t="s">
        <v>3953</v>
      </c>
      <c r="AN62" t="s">
        <v>3639</v>
      </c>
      <c r="AO62" t="s">
        <v>3954</v>
      </c>
      <c r="AP62" t="s">
        <v>3802</v>
      </c>
      <c r="AQ62" t="s">
        <v>3955</v>
      </c>
      <c r="AR62" t="s">
        <v>3672</v>
      </c>
      <c r="AS62" t="s">
        <v>3708</v>
      </c>
      <c r="AT62" t="s">
        <v>3956</v>
      </c>
    </row>
    <row r="63" spans="1:46" ht="20.100000000000001" customHeight="1" x14ac:dyDescent="0.2">
      <c r="A63" t="s">
        <v>1036</v>
      </c>
      <c r="B63" t="s">
        <v>1037</v>
      </c>
      <c r="C63" t="s">
        <v>1038</v>
      </c>
      <c r="D63" t="s">
        <v>1039</v>
      </c>
      <c r="E63" t="s">
        <v>1040</v>
      </c>
      <c r="F63" t="s">
        <v>1041</v>
      </c>
      <c r="G63" t="s">
        <v>1042</v>
      </c>
      <c r="H63" t="s">
        <v>1043</v>
      </c>
      <c r="I63" t="s">
        <v>1044</v>
      </c>
      <c r="J63" t="s">
        <v>1045</v>
      </c>
      <c r="K63" t="s">
        <v>3957</v>
      </c>
      <c r="L63" t="s">
        <v>1046</v>
      </c>
      <c r="M63" t="s">
        <v>31</v>
      </c>
      <c r="N63" t="s">
        <v>31</v>
      </c>
      <c r="O63" t="s">
        <v>31</v>
      </c>
      <c r="P63">
        <v>1</v>
      </c>
      <c r="Q63" t="s">
        <v>452</v>
      </c>
      <c r="R63">
        <v>2024</v>
      </c>
      <c r="S63">
        <v>161</v>
      </c>
      <c r="T63" t="s">
        <v>1047</v>
      </c>
      <c r="U63">
        <v>913</v>
      </c>
      <c r="V63">
        <v>948</v>
      </c>
      <c r="W63" t="s">
        <v>31</v>
      </c>
      <c r="X63" t="s">
        <v>1048</v>
      </c>
      <c r="Y63" t="str">
        <f>HYPERLINK("http://dx.doi.org/10.1163/1568539X-bja10290","http://dx.doi.org/10.1163/1568539X-bja10290")</f>
        <v>http://dx.doi.org/10.1163/1568539X-bja10290</v>
      </c>
      <c r="Z63" t="s">
        <v>31</v>
      </c>
      <c r="AA63" t="s">
        <v>1049</v>
      </c>
      <c r="AB63" t="s">
        <v>1049</v>
      </c>
      <c r="AC63" t="s">
        <v>47</v>
      </c>
      <c r="AD63" t="s">
        <v>1050</v>
      </c>
      <c r="AE63" t="str">
        <f>HYPERLINK("https%3A%2F%2Fwww.webofscience.com%2Fwos%2Fwoscc%2Ffull-record%2FWOS:001379767900003","View Full Record in Web of Science")</f>
        <v>View Full Record in Web of Science</v>
      </c>
      <c r="AG63" t="s">
        <v>3876</v>
      </c>
      <c r="AH63" s="4" t="s">
        <v>3684</v>
      </c>
      <c r="AI63" t="s">
        <v>3958</v>
      </c>
      <c r="AJ63">
        <v>3</v>
      </c>
      <c r="AK63" t="s">
        <v>3959</v>
      </c>
      <c r="AL63" t="s">
        <v>3650</v>
      </c>
      <c r="AM63" t="s">
        <v>3960</v>
      </c>
      <c r="AN63" t="s">
        <v>3650</v>
      </c>
      <c r="AO63" t="s">
        <v>3961</v>
      </c>
      <c r="AP63" t="s">
        <v>3721</v>
      </c>
      <c r="AQ63" t="s">
        <v>3962</v>
      </c>
      <c r="AR63">
        <v>21</v>
      </c>
      <c r="AS63" t="s">
        <v>3963</v>
      </c>
      <c r="AT63" t="s">
        <v>3964</v>
      </c>
    </row>
    <row r="64" spans="1:46" ht="20.100000000000001" customHeight="1" x14ac:dyDescent="0.2">
      <c r="A64" t="s">
        <v>1051</v>
      </c>
      <c r="B64" t="s">
        <v>1052</v>
      </c>
      <c r="C64" t="s">
        <v>1053</v>
      </c>
      <c r="D64" t="s">
        <v>1054</v>
      </c>
      <c r="E64" t="s">
        <v>1055</v>
      </c>
      <c r="F64" t="s">
        <v>1056</v>
      </c>
      <c r="G64" t="s">
        <v>1057</v>
      </c>
      <c r="H64" t="s">
        <v>1058</v>
      </c>
      <c r="I64" t="s">
        <v>1059</v>
      </c>
      <c r="J64" t="s">
        <v>1060</v>
      </c>
      <c r="K64" t="s">
        <v>3713</v>
      </c>
      <c r="L64" t="s">
        <v>1061</v>
      </c>
      <c r="M64" t="s">
        <v>1062</v>
      </c>
      <c r="N64" t="s">
        <v>1063</v>
      </c>
      <c r="O64" t="s">
        <v>1064</v>
      </c>
      <c r="P64">
        <v>3</v>
      </c>
      <c r="Q64" t="s">
        <v>452</v>
      </c>
      <c r="R64">
        <v>2024</v>
      </c>
      <c r="S64">
        <v>51</v>
      </c>
      <c r="T64">
        <v>1</v>
      </c>
      <c r="U64" t="s">
        <v>31</v>
      </c>
      <c r="V64" t="s">
        <v>31</v>
      </c>
      <c r="W64">
        <v>21</v>
      </c>
      <c r="X64" t="s">
        <v>1065</v>
      </c>
      <c r="Y64" t="str">
        <f>HYPERLINK("http://dx.doi.org/10.1007/s11033-023-08984-3","http://dx.doi.org/10.1007/s11033-023-08984-3")</f>
        <v>http://dx.doi.org/10.1007/s11033-023-08984-3</v>
      </c>
      <c r="Z64" t="s">
        <v>31</v>
      </c>
      <c r="AA64" t="s">
        <v>1066</v>
      </c>
      <c r="AB64" t="s">
        <v>1066</v>
      </c>
      <c r="AC64" t="s">
        <v>47</v>
      </c>
      <c r="AD64" t="s">
        <v>1067</v>
      </c>
      <c r="AE64" t="str">
        <f>HYPERLINK("https%3A%2F%2Fwww.webofscience.com%2Fwos%2Fwoscc%2Ffull-record%2FWOS:001126365700003","View Full Record in Web of Science")</f>
        <v>View Full Record in Web of Science</v>
      </c>
      <c r="AG64" t="s">
        <v>3657</v>
      </c>
      <c r="AH64" t="s">
        <v>3679</v>
      </c>
      <c r="AI64" t="s">
        <v>3632</v>
      </c>
      <c r="AJ64">
        <v>0</v>
      </c>
      <c r="AK64" t="s">
        <v>3968</v>
      </c>
      <c r="AL64" t="s">
        <v>3639</v>
      </c>
      <c r="AM64" t="s">
        <v>3969</v>
      </c>
      <c r="AN64" t="s">
        <v>3639</v>
      </c>
      <c r="AO64" t="s">
        <v>3970</v>
      </c>
      <c r="AP64" t="s">
        <v>3635</v>
      </c>
      <c r="AQ64" t="s">
        <v>3971</v>
      </c>
      <c r="AR64">
        <v>1</v>
      </c>
      <c r="AS64" t="s">
        <v>3633</v>
      </c>
      <c r="AT64" t="s">
        <v>3972</v>
      </c>
    </row>
    <row r="65" spans="1:46" ht="20.100000000000001" customHeight="1" x14ac:dyDescent="0.2">
      <c r="A65" t="s">
        <v>1068</v>
      </c>
      <c r="B65" t="s">
        <v>1069</v>
      </c>
      <c r="C65" t="s">
        <v>1070</v>
      </c>
      <c r="D65" t="s">
        <v>1071</v>
      </c>
      <c r="E65" t="s">
        <v>1072</v>
      </c>
      <c r="F65" t="s">
        <v>1073</v>
      </c>
      <c r="G65" t="s">
        <v>1074</v>
      </c>
      <c r="H65" t="s">
        <v>1075</v>
      </c>
      <c r="I65" t="s">
        <v>1076</v>
      </c>
      <c r="J65" t="s">
        <v>1077</v>
      </c>
      <c r="K65" t="s">
        <v>3691</v>
      </c>
      <c r="L65" t="s">
        <v>1078</v>
      </c>
      <c r="M65" t="s">
        <v>1079</v>
      </c>
      <c r="N65" t="s">
        <v>1080</v>
      </c>
      <c r="O65" t="s">
        <v>1081</v>
      </c>
      <c r="P65">
        <v>5</v>
      </c>
      <c r="Q65" t="s">
        <v>269</v>
      </c>
      <c r="R65">
        <v>2025</v>
      </c>
      <c r="S65">
        <v>35</v>
      </c>
      <c r="T65">
        <v>1</v>
      </c>
      <c r="U65">
        <v>297</v>
      </c>
      <c r="V65">
        <v>315</v>
      </c>
      <c r="W65" t="s">
        <v>31</v>
      </c>
      <c r="X65" t="s">
        <v>1082</v>
      </c>
      <c r="Y65" t="str">
        <f>HYPERLINK("http://dx.doi.org/10.1007/s11160-024-09902-x","http://dx.doi.org/10.1007/s11160-024-09902-x")</f>
        <v>http://dx.doi.org/10.1007/s11160-024-09902-x</v>
      </c>
      <c r="Z65" t="s">
        <v>1083</v>
      </c>
      <c r="AA65" t="s">
        <v>537</v>
      </c>
      <c r="AB65" t="s">
        <v>537</v>
      </c>
      <c r="AC65" t="s">
        <v>47</v>
      </c>
      <c r="AD65" t="s">
        <v>1084</v>
      </c>
      <c r="AE65" t="str">
        <f>HYPERLINK("https%3A%2F%2Fwww.webofscience.com%2Fwos%2Fwoscc%2Ffull-record%2FWOS:001352537700001","View Full Record in Web of Science")</f>
        <v>View Full Record in Web of Science</v>
      </c>
      <c r="AG65" t="s">
        <v>3658</v>
      </c>
      <c r="AH65" t="s">
        <v>3679</v>
      </c>
      <c r="AI65" t="s">
        <v>3632</v>
      </c>
      <c r="AJ65">
        <v>1</v>
      </c>
      <c r="AK65" t="s">
        <v>3979</v>
      </c>
      <c r="AL65" t="s">
        <v>3639</v>
      </c>
      <c r="AM65" t="s">
        <v>3980</v>
      </c>
      <c r="AN65" t="s">
        <v>3650</v>
      </c>
      <c r="AO65" t="s">
        <v>3981</v>
      </c>
      <c r="AP65" t="s">
        <v>3651</v>
      </c>
      <c r="AQ65" t="s">
        <v>3982</v>
      </c>
      <c r="AR65">
        <v>19</v>
      </c>
      <c r="AS65" t="s">
        <v>3653</v>
      </c>
      <c r="AT65" t="s">
        <v>3983</v>
      </c>
    </row>
    <row r="66" spans="1:46" ht="20.100000000000001" customHeight="1" x14ac:dyDescent="0.2">
      <c r="A66" t="s">
        <v>1085</v>
      </c>
      <c r="B66" t="s">
        <v>1086</v>
      </c>
      <c r="C66" t="s">
        <v>1087</v>
      </c>
      <c r="D66" t="s">
        <v>1088</v>
      </c>
      <c r="E66" t="s">
        <v>1089</v>
      </c>
      <c r="F66" t="s">
        <v>1090</v>
      </c>
      <c r="G66" t="s">
        <v>1091</v>
      </c>
      <c r="H66" t="s">
        <v>1092</v>
      </c>
      <c r="I66" t="s">
        <v>1093</v>
      </c>
      <c r="J66" t="s">
        <v>1094</v>
      </c>
      <c r="K66" t="s">
        <v>3965</v>
      </c>
      <c r="L66" t="s">
        <v>1095</v>
      </c>
      <c r="M66" t="s">
        <v>31</v>
      </c>
      <c r="N66" t="s">
        <v>31</v>
      </c>
      <c r="O66" t="s">
        <v>31</v>
      </c>
      <c r="P66">
        <v>1</v>
      </c>
      <c r="Q66" t="s">
        <v>269</v>
      </c>
      <c r="R66">
        <v>2025</v>
      </c>
      <c r="S66">
        <v>343</v>
      </c>
      <c r="T66">
        <v>2</v>
      </c>
      <c r="U66">
        <v>149</v>
      </c>
      <c r="V66">
        <v>158</v>
      </c>
      <c r="W66" t="s">
        <v>31</v>
      </c>
      <c r="X66" t="s">
        <v>1096</v>
      </c>
      <c r="Y66" t="str">
        <f>HYPERLINK("http://dx.doi.org/10.1002/jez.2877","http://dx.doi.org/10.1002/jez.2877")</f>
        <v>http://dx.doi.org/10.1002/jez.2877</v>
      </c>
      <c r="Z66" t="s">
        <v>1097</v>
      </c>
      <c r="AA66" t="s">
        <v>450</v>
      </c>
      <c r="AB66" t="s">
        <v>450</v>
      </c>
      <c r="AC66" t="s">
        <v>47</v>
      </c>
      <c r="AD66" t="s">
        <v>1098</v>
      </c>
      <c r="AE66" t="str">
        <f>HYPERLINK("https%3A%2F%2Fwww.webofscience.com%2Fwos%2Fwoscc%2Ffull-record%2FWOS:001344775700001","View Full Record in Web of Science")</f>
        <v>View Full Record in Web of Science</v>
      </c>
      <c r="AG66" t="s">
        <v>3798</v>
      </c>
      <c r="AI66" s="4" t="s">
        <v>3632</v>
      </c>
      <c r="AJ66">
        <v>1</v>
      </c>
      <c r="AK66" s="4" t="s">
        <v>3984</v>
      </c>
      <c r="AL66" t="s">
        <v>3639</v>
      </c>
      <c r="AN66" s="4" t="s">
        <v>3650</v>
      </c>
      <c r="AO66" t="s">
        <v>3985</v>
      </c>
      <c r="AP66" t="s">
        <v>3706</v>
      </c>
      <c r="AQ66" t="s">
        <v>3987</v>
      </c>
      <c r="AR66" t="s">
        <v>3672</v>
      </c>
      <c r="AS66" t="s">
        <v>3653</v>
      </c>
      <c r="AT66" s="6" t="s">
        <v>3986</v>
      </c>
    </row>
    <row r="67" spans="1:46" ht="20.100000000000001" customHeight="1" x14ac:dyDescent="0.2">
      <c r="A67" t="s">
        <v>1099</v>
      </c>
      <c r="B67" t="s">
        <v>1100</v>
      </c>
      <c r="C67" t="s">
        <v>1101</v>
      </c>
      <c r="D67" t="s">
        <v>1102</v>
      </c>
      <c r="E67" t="s">
        <v>1103</v>
      </c>
      <c r="F67" t="s">
        <v>1104</v>
      </c>
      <c r="G67" t="s">
        <v>1105</v>
      </c>
      <c r="H67" t="s">
        <v>1106</v>
      </c>
      <c r="I67" t="s">
        <v>1107</v>
      </c>
      <c r="J67" t="s">
        <v>1108</v>
      </c>
      <c r="K67" t="s">
        <v>3966</v>
      </c>
      <c r="L67" t="s">
        <v>1109</v>
      </c>
      <c r="M67" t="s">
        <v>1110</v>
      </c>
      <c r="N67" t="s">
        <v>1111</v>
      </c>
      <c r="O67" t="s">
        <v>1112</v>
      </c>
      <c r="P67">
        <v>2</v>
      </c>
      <c r="Q67" t="s">
        <v>452</v>
      </c>
      <c r="R67">
        <v>2024</v>
      </c>
      <c r="S67">
        <v>207</v>
      </c>
      <c r="T67" t="s">
        <v>31</v>
      </c>
      <c r="U67" t="s">
        <v>31</v>
      </c>
      <c r="V67" t="s">
        <v>31</v>
      </c>
      <c r="W67">
        <v>111906</v>
      </c>
      <c r="X67" t="s">
        <v>1113</v>
      </c>
      <c r="Y67" t="str">
        <f>HYPERLINK("http://dx.doi.org/10.1016/j.microc.2024.111906","http://dx.doi.org/10.1016/j.microc.2024.111906")</f>
        <v>http://dx.doi.org/10.1016/j.microc.2024.111906</v>
      </c>
      <c r="Z67" t="s">
        <v>1097</v>
      </c>
      <c r="AA67" t="s">
        <v>1114</v>
      </c>
      <c r="AB67" t="s">
        <v>1115</v>
      </c>
      <c r="AC67" t="s">
        <v>47</v>
      </c>
      <c r="AD67" t="s">
        <v>1116</v>
      </c>
      <c r="AE67" t="str">
        <f>HYPERLINK("https%3A%2F%2Fwww.webofscience.com%2Fwos%2Fwoscc%2Ffull-record%2FWOS:001339466300001","View Full Record in Web of Science")</f>
        <v>View Full Record in Web of Science</v>
      </c>
      <c r="AG67" t="s">
        <v>3637</v>
      </c>
      <c r="AI67" t="s">
        <v>3632</v>
      </c>
      <c r="AJ67">
        <v>0</v>
      </c>
      <c r="AK67" s="6" t="s">
        <v>3988</v>
      </c>
      <c r="AL67" t="s">
        <v>3639</v>
      </c>
      <c r="AN67" t="s">
        <v>3639</v>
      </c>
      <c r="AO67" t="s">
        <v>3989</v>
      </c>
      <c r="AP67" t="s">
        <v>3635</v>
      </c>
      <c r="AQ67" t="s">
        <v>3990</v>
      </c>
      <c r="AR67" s="4" t="s">
        <v>3672</v>
      </c>
      <c r="AS67" t="s">
        <v>3633</v>
      </c>
      <c r="AT67" t="s">
        <v>3991</v>
      </c>
    </row>
    <row r="68" spans="1:46" ht="20.100000000000001" customHeight="1" x14ac:dyDescent="0.2">
      <c r="A68" t="s">
        <v>1117</v>
      </c>
      <c r="B68" t="s">
        <v>1118</v>
      </c>
      <c r="C68" t="s">
        <v>1119</v>
      </c>
      <c r="D68" t="s">
        <v>1071</v>
      </c>
      <c r="E68" t="s">
        <v>1120</v>
      </c>
      <c r="F68" t="s">
        <v>1121</v>
      </c>
      <c r="G68" t="s">
        <v>1122</v>
      </c>
      <c r="H68" t="s">
        <v>1123</v>
      </c>
      <c r="I68" t="s">
        <v>1124</v>
      </c>
      <c r="J68" t="s">
        <v>1125</v>
      </c>
      <c r="K68" t="s">
        <v>3967</v>
      </c>
      <c r="L68" t="s">
        <v>1126</v>
      </c>
      <c r="M68" t="s">
        <v>1127</v>
      </c>
      <c r="N68" t="s">
        <v>1128</v>
      </c>
      <c r="O68" t="s">
        <v>1129</v>
      </c>
      <c r="P68">
        <v>4</v>
      </c>
      <c r="Q68" t="s">
        <v>452</v>
      </c>
      <c r="R68">
        <v>2024</v>
      </c>
      <c r="S68">
        <v>34</v>
      </c>
      <c r="T68">
        <v>4</v>
      </c>
      <c r="U68">
        <v>1685</v>
      </c>
      <c r="V68">
        <v>1706</v>
      </c>
      <c r="W68" t="s">
        <v>31</v>
      </c>
      <c r="X68" t="s">
        <v>1130</v>
      </c>
      <c r="Y68" t="str">
        <f>HYPERLINK("http://dx.doi.org/10.1007/s11160-024-09894-8","http://dx.doi.org/10.1007/s11160-024-09894-8")</f>
        <v>http://dx.doi.org/10.1007/s11160-024-09894-8</v>
      </c>
      <c r="Z68" t="s">
        <v>1131</v>
      </c>
      <c r="AA68" t="s">
        <v>537</v>
      </c>
      <c r="AB68" t="s">
        <v>537</v>
      </c>
      <c r="AC68" t="s">
        <v>47</v>
      </c>
      <c r="AD68" t="s">
        <v>1132</v>
      </c>
      <c r="AE68" t="str">
        <f>HYPERLINK("https%3A%2F%2Fwww.webofscience.com%2Fwos%2Fwoscc%2Ffull-record%2FWOS:001318212100002","View Full Record in Web of Science")</f>
        <v>View Full Record in Web of Science</v>
      </c>
      <c r="AG68" t="s">
        <v>3679</v>
      </c>
      <c r="AH68" t="s">
        <v>3657</v>
      </c>
      <c r="AI68" t="s">
        <v>3632</v>
      </c>
      <c r="AJ68">
        <v>0</v>
      </c>
      <c r="AK68" t="s">
        <v>3992</v>
      </c>
      <c r="AL68" t="s">
        <v>3639</v>
      </c>
      <c r="AN68" s="4" t="s">
        <v>3650</v>
      </c>
      <c r="AO68" t="s">
        <v>3993</v>
      </c>
      <c r="AP68" t="s">
        <v>3651</v>
      </c>
      <c r="AQ68" t="s">
        <v>3994</v>
      </c>
      <c r="AR68">
        <v>29</v>
      </c>
      <c r="AS68" t="s">
        <v>3653</v>
      </c>
      <c r="AT68" s="4" t="s">
        <v>3995</v>
      </c>
    </row>
    <row r="69" spans="1:46" ht="20.100000000000001" customHeight="1" x14ac:dyDescent="0.2">
      <c r="A69" t="s">
        <v>1133</v>
      </c>
      <c r="B69" t="s">
        <v>1134</v>
      </c>
      <c r="C69" t="s">
        <v>1135</v>
      </c>
      <c r="D69" t="s">
        <v>1136</v>
      </c>
      <c r="E69" t="s">
        <v>1137</v>
      </c>
      <c r="F69" t="s">
        <v>1138</v>
      </c>
      <c r="G69" t="s">
        <v>1139</v>
      </c>
      <c r="H69" t="s">
        <v>1140</v>
      </c>
      <c r="I69" t="s">
        <v>956</v>
      </c>
      <c r="J69" t="s">
        <v>1141</v>
      </c>
      <c r="K69" t="s">
        <v>3691</v>
      </c>
      <c r="L69" t="s">
        <v>1142</v>
      </c>
      <c r="M69" t="s">
        <v>1143</v>
      </c>
      <c r="N69" t="s">
        <v>1144</v>
      </c>
      <c r="O69" t="s">
        <v>1145</v>
      </c>
      <c r="P69">
        <v>5</v>
      </c>
      <c r="Q69" t="s">
        <v>718</v>
      </c>
      <c r="R69">
        <v>2024</v>
      </c>
      <c r="S69">
        <v>25</v>
      </c>
      <c r="T69">
        <v>18</v>
      </c>
      <c r="U69" t="s">
        <v>31</v>
      </c>
      <c r="V69" t="s">
        <v>31</v>
      </c>
      <c r="W69">
        <v>9953</v>
      </c>
      <c r="X69" t="s">
        <v>1146</v>
      </c>
      <c r="Y69" t="str">
        <f>HYPERLINK("http://dx.doi.org/10.3390/ijms25189953","http://dx.doi.org/10.3390/ijms25189953")</f>
        <v>http://dx.doi.org/10.3390/ijms25189953</v>
      </c>
      <c r="Z69" t="s">
        <v>31</v>
      </c>
      <c r="AA69" t="s">
        <v>503</v>
      </c>
      <c r="AB69" t="s">
        <v>504</v>
      </c>
      <c r="AC69" t="s">
        <v>47</v>
      </c>
      <c r="AD69" t="s">
        <v>1147</v>
      </c>
      <c r="AE69" t="str">
        <f>HYPERLINK("https%3A%2F%2Fwww.webofscience.com%2Fwos%2Fwoscc%2Ffull-record%2FWOS:001326302800001","View Full Record in Web of Science")</f>
        <v>View Full Record in Web of Science</v>
      </c>
      <c r="AG69" t="s">
        <v>3684</v>
      </c>
      <c r="AH69" t="s">
        <v>3694</v>
      </c>
      <c r="AI69" t="s">
        <v>3685</v>
      </c>
      <c r="AJ69">
        <v>1</v>
      </c>
      <c r="AK69" t="s">
        <v>3996</v>
      </c>
      <c r="AL69" t="s">
        <v>3650</v>
      </c>
      <c r="AM69" t="s">
        <v>3997</v>
      </c>
      <c r="AN69" t="s">
        <v>3650</v>
      </c>
      <c r="AO69" t="s">
        <v>3998</v>
      </c>
      <c r="AP69" t="s">
        <v>3706</v>
      </c>
      <c r="AQ69" t="s">
        <v>3999</v>
      </c>
      <c r="AR69">
        <v>6</v>
      </c>
      <c r="AS69" t="s">
        <v>3653</v>
      </c>
      <c r="AT69" t="s">
        <v>4000</v>
      </c>
    </row>
    <row r="70" spans="1:46" ht="20.100000000000001" customHeight="1" x14ac:dyDescent="0.2">
      <c r="A70" t="s">
        <v>1148</v>
      </c>
      <c r="B70" t="s">
        <v>1149</v>
      </c>
      <c r="C70" t="s">
        <v>1150</v>
      </c>
      <c r="D70" t="s">
        <v>1151</v>
      </c>
      <c r="E70" t="s">
        <v>1152</v>
      </c>
      <c r="F70" t="s">
        <v>1153</v>
      </c>
      <c r="G70" t="s">
        <v>1154</v>
      </c>
      <c r="H70" t="s">
        <v>1155</v>
      </c>
      <c r="I70" t="s">
        <v>1156</v>
      </c>
      <c r="J70" t="s">
        <v>1157</v>
      </c>
      <c r="K70" t="s">
        <v>3965</v>
      </c>
      <c r="L70" t="s">
        <v>1158</v>
      </c>
      <c r="M70" t="s">
        <v>1159</v>
      </c>
      <c r="N70" t="s">
        <v>1160</v>
      </c>
      <c r="O70" t="s">
        <v>1161</v>
      </c>
      <c r="P70">
        <v>3</v>
      </c>
      <c r="Q70" t="s">
        <v>1162</v>
      </c>
      <c r="R70">
        <v>2024</v>
      </c>
      <c r="S70">
        <v>76</v>
      </c>
      <c r="T70">
        <v>5</v>
      </c>
      <c r="U70" t="s">
        <v>31</v>
      </c>
      <c r="V70" t="s">
        <v>31</v>
      </c>
      <c r="W70" t="s">
        <v>1163</v>
      </c>
      <c r="X70" t="s">
        <v>31</v>
      </c>
      <c r="Y70" t="s">
        <v>31</v>
      </c>
      <c r="Z70" t="s">
        <v>31</v>
      </c>
      <c r="AA70" t="s">
        <v>350</v>
      </c>
      <c r="AB70" t="s">
        <v>350</v>
      </c>
      <c r="AC70" t="s">
        <v>47</v>
      </c>
      <c r="AD70" t="s">
        <v>1164</v>
      </c>
      <c r="AE70" t="str">
        <f>HYPERLINK("https%3A%2F%2Fwww.webofscience.com%2Fwos%2Fwoscc%2Ffull-record%2FWOS:001298642300011","View Full Record in Web of Science")</f>
        <v>View Full Record in Web of Science</v>
      </c>
      <c r="AG70" t="s">
        <v>3798</v>
      </c>
      <c r="AI70" s="4" t="s">
        <v>3632</v>
      </c>
      <c r="AJ70">
        <v>0</v>
      </c>
      <c r="AK70" s="6" t="s">
        <v>4001</v>
      </c>
      <c r="AL70" t="s">
        <v>3639</v>
      </c>
      <c r="AM70" t="s">
        <v>4002</v>
      </c>
      <c r="AN70" t="s">
        <v>3639</v>
      </c>
      <c r="AP70" t="s">
        <v>3635</v>
      </c>
      <c r="AQ70" t="s">
        <v>4003</v>
      </c>
      <c r="AR70" t="s">
        <v>3672</v>
      </c>
      <c r="AS70" s="4" t="s">
        <v>3653</v>
      </c>
      <c r="AT70" s="4" t="s">
        <v>4004</v>
      </c>
    </row>
    <row r="71" spans="1:46" ht="20.100000000000001" customHeight="1" x14ac:dyDescent="0.2">
      <c r="A71" t="s">
        <v>1165</v>
      </c>
      <c r="B71" t="s">
        <v>1166</v>
      </c>
      <c r="C71" t="s">
        <v>1167</v>
      </c>
      <c r="D71" t="s">
        <v>542</v>
      </c>
      <c r="E71" t="s">
        <v>1168</v>
      </c>
      <c r="F71" t="s">
        <v>1169</v>
      </c>
      <c r="G71" t="s">
        <v>1170</v>
      </c>
      <c r="H71" t="s">
        <v>1171</v>
      </c>
      <c r="I71" t="s">
        <v>956</v>
      </c>
      <c r="J71" t="s">
        <v>1172</v>
      </c>
      <c r="K71" t="s">
        <v>3691</v>
      </c>
      <c r="L71" t="s">
        <v>1173</v>
      </c>
      <c r="M71" t="s">
        <v>1174</v>
      </c>
      <c r="N71" t="s">
        <v>1174</v>
      </c>
      <c r="O71" t="s">
        <v>1175</v>
      </c>
      <c r="P71">
        <v>2</v>
      </c>
      <c r="Q71" t="s">
        <v>1176</v>
      </c>
      <c r="R71">
        <v>2024</v>
      </c>
      <c r="S71">
        <v>11</v>
      </c>
      <c r="T71" t="s">
        <v>31</v>
      </c>
      <c r="U71" t="s">
        <v>31</v>
      </c>
      <c r="V71" t="s">
        <v>31</v>
      </c>
      <c r="W71">
        <v>1435217</v>
      </c>
      <c r="X71" t="s">
        <v>1177</v>
      </c>
      <c r="Y71" t="str">
        <f>HYPERLINK("http://dx.doi.org/10.3389/fmars.2024.1435217","http://dx.doi.org/10.3389/fmars.2024.1435217")</f>
        <v>http://dx.doi.org/10.3389/fmars.2024.1435217</v>
      </c>
      <c r="Z71" t="s">
        <v>31</v>
      </c>
      <c r="AA71" t="s">
        <v>554</v>
      </c>
      <c r="AB71" t="s">
        <v>555</v>
      </c>
      <c r="AC71" t="s">
        <v>47</v>
      </c>
      <c r="AD71" t="s">
        <v>1178</v>
      </c>
      <c r="AE71" t="str">
        <f>HYPERLINK("https%3A%2F%2Fwww.webofscience.com%2Fwos%2Fwoscc%2Ffull-record%2FWOS:001307465000001","View Full Record in Web of Science")</f>
        <v>View Full Record in Web of Science</v>
      </c>
      <c r="AG71" s="4" t="s">
        <v>3684</v>
      </c>
      <c r="AH71" s="4" t="s">
        <v>3694</v>
      </c>
      <c r="AI71" s="4" t="s">
        <v>3685</v>
      </c>
      <c r="AJ71">
        <v>1</v>
      </c>
      <c r="AK71" s="4" t="s">
        <v>4006</v>
      </c>
      <c r="AL71" s="4" t="s">
        <v>3650</v>
      </c>
      <c r="AM71" s="4" t="s">
        <v>4007</v>
      </c>
      <c r="AN71" s="4" t="s">
        <v>3650</v>
      </c>
      <c r="AO71" s="9" t="s">
        <v>4005</v>
      </c>
      <c r="AP71" s="4" t="s">
        <v>3706</v>
      </c>
      <c r="AQ71" s="4" t="s">
        <v>4008</v>
      </c>
      <c r="AR71">
        <v>20</v>
      </c>
      <c r="AS71" s="4" t="s">
        <v>3653</v>
      </c>
      <c r="AT71" s="4" t="s">
        <v>4009</v>
      </c>
    </row>
    <row r="72" spans="1:46" ht="20.100000000000001" customHeight="1" x14ac:dyDescent="0.2">
      <c r="A72" t="s">
        <v>1179</v>
      </c>
      <c r="B72" t="s">
        <v>1180</v>
      </c>
      <c r="C72" t="s">
        <v>1181</v>
      </c>
      <c r="D72" t="s">
        <v>542</v>
      </c>
      <c r="E72" t="s">
        <v>1182</v>
      </c>
      <c r="F72" t="s">
        <v>1183</v>
      </c>
      <c r="G72" s="4" t="s">
        <v>1184</v>
      </c>
      <c r="H72" t="s">
        <v>1185</v>
      </c>
      <c r="I72" t="s">
        <v>1186</v>
      </c>
      <c r="J72" t="s">
        <v>1187</v>
      </c>
      <c r="K72" s="4" t="s">
        <v>3718</v>
      </c>
      <c r="L72" t="s">
        <v>514</v>
      </c>
      <c r="M72" t="s">
        <v>1188</v>
      </c>
      <c r="N72" t="s">
        <v>1188</v>
      </c>
      <c r="O72" t="s">
        <v>1189</v>
      </c>
      <c r="P72">
        <v>6</v>
      </c>
      <c r="Q72" t="s">
        <v>602</v>
      </c>
      <c r="R72">
        <v>2024</v>
      </c>
      <c r="S72">
        <v>11</v>
      </c>
      <c r="T72" t="s">
        <v>31</v>
      </c>
      <c r="U72" t="s">
        <v>31</v>
      </c>
      <c r="V72" t="s">
        <v>31</v>
      </c>
      <c r="W72">
        <v>1448199</v>
      </c>
      <c r="X72" t="s">
        <v>1190</v>
      </c>
      <c r="Y72" t="str">
        <f>HYPERLINK("http://dx.doi.org/10.3389/fmars.2024.1448199","http://dx.doi.org/10.3389/fmars.2024.1448199")</f>
        <v>http://dx.doi.org/10.3389/fmars.2024.1448199</v>
      </c>
      <c r="Z72" t="s">
        <v>31</v>
      </c>
      <c r="AA72" t="s">
        <v>554</v>
      </c>
      <c r="AB72" t="s">
        <v>555</v>
      </c>
      <c r="AC72" t="s">
        <v>47</v>
      </c>
      <c r="AD72" t="s">
        <v>1191</v>
      </c>
      <c r="AE72" t="str">
        <f>HYPERLINK("https%3A%2F%2Fwww.webofscience.com%2Fwos%2Fwoscc%2Ffull-record%2FWOS:001306778000001","View Full Record in Web of Science")</f>
        <v>View Full Record in Web of Science</v>
      </c>
      <c r="AG72" s="4" t="s">
        <v>3667</v>
      </c>
      <c r="AI72" s="4" t="s">
        <v>3648</v>
      </c>
      <c r="AJ72">
        <v>0</v>
      </c>
      <c r="AK72" s="4" t="s">
        <v>4011</v>
      </c>
      <c r="AL72" s="4" t="s">
        <v>3735</v>
      </c>
      <c r="AM72" s="8" t="s">
        <v>4015</v>
      </c>
      <c r="AN72" s="4" t="s">
        <v>3650</v>
      </c>
      <c r="AO72" s="9" t="s">
        <v>4010</v>
      </c>
      <c r="AP72" s="4" t="s">
        <v>3706</v>
      </c>
      <c r="AQ72" s="4" t="s">
        <v>4012</v>
      </c>
      <c r="AR72" s="4" t="s">
        <v>4013</v>
      </c>
      <c r="AS72" s="4" t="s">
        <v>3723</v>
      </c>
      <c r="AT72" s="4" t="s">
        <v>4014</v>
      </c>
    </row>
    <row r="73" spans="1:46" ht="20.100000000000001" customHeight="1" x14ac:dyDescent="0.2">
      <c r="A73" t="s">
        <v>1192</v>
      </c>
      <c r="B73" t="s">
        <v>1193</v>
      </c>
      <c r="C73" t="s">
        <v>1194</v>
      </c>
      <c r="D73" t="s">
        <v>1071</v>
      </c>
      <c r="E73" t="s">
        <v>1195</v>
      </c>
      <c r="F73" t="s">
        <v>1196</v>
      </c>
      <c r="G73" s="4" t="s">
        <v>1197</v>
      </c>
      <c r="H73" t="s">
        <v>1198</v>
      </c>
      <c r="I73" t="s">
        <v>1199</v>
      </c>
      <c r="J73" t="s">
        <v>1200</v>
      </c>
      <c r="K73" s="4" t="s">
        <v>3691</v>
      </c>
      <c r="L73" t="s">
        <v>1201</v>
      </c>
      <c r="M73" t="s">
        <v>1202</v>
      </c>
      <c r="N73" t="s">
        <v>1203</v>
      </c>
      <c r="O73" t="s">
        <v>1204</v>
      </c>
      <c r="P73">
        <v>4</v>
      </c>
      <c r="Q73" t="s">
        <v>452</v>
      </c>
      <c r="R73">
        <v>2024</v>
      </c>
      <c r="S73">
        <v>34</v>
      </c>
      <c r="T73">
        <v>4</v>
      </c>
      <c r="U73">
        <v>1309</v>
      </c>
      <c r="V73">
        <v>1327</v>
      </c>
      <c r="W73" t="s">
        <v>31</v>
      </c>
      <c r="X73" t="s">
        <v>1205</v>
      </c>
      <c r="Y73" t="str">
        <f>HYPERLINK("http://dx.doi.org/10.1007/s11160-024-09875-x","http://dx.doi.org/10.1007/s11160-024-09875-x")</f>
        <v>http://dx.doi.org/10.1007/s11160-024-09875-x</v>
      </c>
      <c r="Z73" t="s">
        <v>1206</v>
      </c>
      <c r="AA73" t="s">
        <v>537</v>
      </c>
      <c r="AB73" t="s">
        <v>537</v>
      </c>
      <c r="AC73" t="s">
        <v>47</v>
      </c>
      <c r="AD73" t="s">
        <v>1207</v>
      </c>
      <c r="AE73" t="str">
        <f>HYPERLINK("https%3A%2F%2Fwww.webofscience.com%2Fwos%2Fwoscc%2Ffull-record%2FWOS:001275401000001","View Full Record in Web of Science")</f>
        <v>View Full Record in Web of Science</v>
      </c>
      <c r="AG73" s="4" t="s">
        <v>3667</v>
      </c>
      <c r="AI73" s="4" t="s">
        <v>3719</v>
      </c>
      <c r="AJ73">
        <v>2</v>
      </c>
      <c r="AK73" s="4" t="s">
        <v>4016</v>
      </c>
      <c r="AL73" s="4" t="s">
        <v>3650</v>
      </c>
      <c r="AM73" s="4" t="s">
        <v>4017</v>
      </c>
      <c r="AN73" s="4" t="s">
        <v>3650</v>
      </c>
      <c r="AO73" s="4" t="s">
        <v>4018</v>
      </c>
      <c r="AP73" s="4" t="s">
        <v>3651</v>
      </c>
      <c r="AQ73" s="4" t="s">
        <v>4019</v>
      </c>
      <c r="AR73" s="4">
        <v>201</v>
      </c>
      <c r="AS73" s="4" t="s">
        <v>3653</v>
      </c>
      <c r="AT73" s="4" t="s">
        <v>4020</v>
      </c>
    </row>
    <row r="74" spans="1:46" ht="20.100000000000001" customHeight="1" x14ac:dyDescent="0.2">
      <c r="A74" t="s">
        <v>1209</v>
      </c>
      <c r="B74" t="s">
        <v>1210</v>
      </c>
      <c r="C74" t="s">
        <v>1211</v>
      </c>
      <c r="D74" t="s">
        <v>1212</v>
      </c>
      <c r="E74" t="s">
        <v>1213</v>
      </c>
      <c r="F74" t="s">
        <v>1214</v>
      </c>
      <c r="G74" s="4" t="s">
        <v>1215</v>
      </c>
      <c r="H74" t="s">
        <v>1216</v>
      </c>
      <c r="I74" t="s">
        <v>1217</v>
      </c>
      <c r="J74" t="s">
        <v>1218</v>
      </c>
      <c r="K74" s="4" t="s">
        <v>3663</v>
      </c>
      <c r="L74" t="s">
        <v>1219</v>
      </c>
      <c r="M74" t="s">
        <v>1220</v>
      </c>
      <c r="N74" t="s">
        <v>1221</v>
      </c>
      <c r="O74" t="s">
        <v>1222</v>
      </c>
      <c r="P74">
        <v>2</v>
      </c>
      <c r="Q74" t="s">
        <v>1223</v>
      </c>
      <c r="R74">
        <v>2024</v>
      </c>
      <c r="S74">
        <v>46</v>
      </c>
      <c r="T74">
        <v>8</v>
      </c>
      <c r="U74">
        <v>955</v>
      </c>
      <c r="V74">
        <v>966</v>
      </c>
      <c r="W74" t="s">
        <v>31</v>
      </c>
      <c r="X74" t="s">
        <v>1224</v>
      </c>
      <c r="Y74" t="str">
        <f>HYPERLINK("http://dx.doi.org/10.1007/s13258-024-01537-3","http://dx.doi.org/10.1007/s13258-024-01537-3")</f>
        <v>http://dx.doi.org/10.1007/s13258-024-01537-3</v>
      </c>
      <c r="Z74" t="s">
        <v>1225</v>
      </c>
      <c r="AA74" t="s">
        <v>1226</v>
      </c>
      <c r="AB74" t="s">
        <v>1226</v>
      </c>
      <c r="AC74" t="s">
        <v>47</v>
      </c>
      <c r="AD74" t="s">
        <v>1227</v>
      </c>
      <c r="AE74" t="str">
        <f>HYPERLINK("https%3A%2F%2Fwww.webofscience.com%2Fwos%2Fwoscc%2Ffull-record%2FWOS:001255306000001","View Full Record in Web of Science")</f>
        <v>View Full Record in Web of Science</v>
      </c>
      <c r="AG74" s="4" t="s">
        <v>3658</v>
      </c>
      <c r="AH74" s="4" t="s">
        <v>3657</v>
      </c>
      <c r="AI74" s="4" t="s">
        <v>3632</v>
      </c>
      <c r="AJ74">
        <v>1</v>
      </c>
      <c r="AK74" s="4" t="s">
        <v>4022</v>
      </c>
      <c r="AL74" s="4" t="s">
        <v>3639</v>
      </c>
      <c r="AM74" s="4" t="s">
        <v>4023</v>
      </c>
      <c r="AN74" s="4" t="s">
        <v>3650</v>
      </c>
      <c r="AO74" s="4" t="s">
        <v>4021</v>
      </c>
      <c r="AP74" s="4" t="s">
        <v>3696</v>
      </c>
      <c r="AQ74" s="4" t="s">
        <v>4025</v>
      </c>
      <c r="AR74" s="4">
        <v>70</v>
      </c>
      <c r="AS74" s="4" t="s">
        <v>3653</v>
      </c>
      <c r="AT74" s="4" t="s">
        <v>4024</v>
      </c>
    </row>
    <row r="75" spans="1:46" ht="20.100000000000001" customHeight="1" x14ac:dyDescent="0.2">
      <c r="A75" t="s">
        <v>1228</v>
      </c>
      <c r="B75" t="s">
        <v>1229</v>
      </c>
      <c r="C75" t="s">
        <v>1230</v>
      </c>
      <c r="D75" t="s">
        <v>1231</v>
      </c>
      <c r="E75" t="s">
        <v>1232</v>
      </c>
      <c r="F75" t="s">
        <v>1233</v>
      </c>
      <c r="G75" t="s">
        <v>1234</v>
      </c>
      <c r="H75" t="s">
        <v>1235</v>
      </c>
      <c r="I75" t="s">
        <v>1236</v>
      </c>
      <c r="J75" t="s">
        <v>1237</v>
      </c>
      <c r="K75" s="4" t="s">
        <v>3691</v>
      </c>
      <c r="L75" t="s">
        <v>1238</v>
      </c>
      <c r="M75" t="s">
        <v>1239</v>
      </c>
      <c r="N75" t="s">
        <v>1240</v>
      </c>
      <c r="O75" t="s">
        <v>1241</v>
      </c>
      <c r="P75">
        <v>3</v>
      </c>
      <c r="Q75" t="s">
        <v>1242</v>
      </c>
      <c r="R75">
        <v>2024</v>
      </c>
      <c r="S75">
        <v>12</v>
      </c>
      <c r="T75">
        <v>1</v>
      </c>
      <c r="U75" t="s">
        <v>31</v>
      </c>
      <c r="V75" t="s">
        <v>31</v>
      </c>
      <c r="W75">
        <v>16</v>
      </c>
      <c r="X75" t="s">
        <v>1243</v>
      </c>
      <c r="Y75" t="str">
        <f>HYPERLINK("http://dx.doi.org/10.1186/s40317-024-00361-6","http://dx.doi.org/10.1186/s40317-024-00361-6")</f>
        <v>http://dx.doi.org/10.1186/s40317-024-00361-6</v>
      </c>
      <c r="Z75" t="s">
        <v>31</v>
      </c>
      <c r="AA75" t="s">
        <v>1244</v>
      </c>
      <c r="AB75" t="s">
        <v>1245</v>
      </c>
      <c r="AC75" t="s">
        <v>47</v>
      </c>
      <c r="AD75" t="s">
        <v>1246</v>
      </c>
      <c r="AE75" t="str">
        <f>HYPERLINK("https%3A%2F%2Fwww.webofscience.com%2Fwos%2Fwoscc%2Ffull-record%2FWOS:001252132400001","View Full Record in Web of Science")</f>
        <v>View Full Record in Web of Science</v>
      </c>
      <c r="AG75" s="4" t="s">
        <v>3667</v>
      </c>
      <c r="AI75" s="4" t="s">
        <v>3668</v>
      </c>
      <c r="AJ75">
        <v>2</v>
      </c>
      <c r="AK75" s="4" t="s">
        <v>4027</v>
      </c>
      <c r="AL75" s="4" t="s">
        <v>3650</v>
      </c>
      <c r="AM75" s="4" t="s">
        <v>4028</v>
      </c>
      <c r="AN75" s="4" t="s">
        <v>3650</v>
      </c>
      <c r="AO75" s="4" t="s">
        <v>4026</v>
      </c>
      <c r="AP75" s="4" t="s">
        <v>4029</v>
      </c>
      <c r="AQ75" s="4" t="s">
        <v>4031</v>
      </c>
      <c r="AR75" s="4">
        <v>29</v>
      </c>
      <c r="AS75" s="4" t="s">
        <v>3653</v>
      </c>
      <c r="AT75" s="4" t="s">
        <v>4030</v>
      </c>
    </row>
    <row r="76" spans="1:46" ht="20.100000000000001" customHeight="1" x14ac:dyDescent="0.2">
      <c r="A76" t="s">
        <v>1247</v>
      </c>
      <c r="B76" t="s">
        <v>1248</v>
      </c>
      <c r="C76" t="s">
        <v>1249</v>
      </c>
      <c r="D76" t="s">
        <v>1250</v>
      </c>
      <c r="E76" t="s">
        <v>1251</v>
      </c>
      <c r="F76" t="s">
        <v>1252</v>
      </c>
      <c r="G76" s="4" t="s">
        <v>1253</v>
      </c>
      <c r="H76" t="s">
        <v>1254</v>
      </c>
      <c r="I76" t="s">
        <v>1255</v>
      </c>
      <c r="J76" t="s">
        <v>1256</v>
      </c>
      <c r="K76" s="4" t="s">
        <v>3919</v>
      </c>
      <c r="L76" t="s">
        <v>1257</v>
      </c>
      <c r="M76" t="s">
        <v>1258</v>
      </c>
      <c r="N76" t="s">
        <v>1259</v>
      </c>
      <c r="O76" t="s">
        <v>1260</v>
      </c>
      <c r="P76">
        <v>6</v>
      </c>
      <c r="Q76" t="s">
        <v>169</v>
      </c>
      <c r="R76">
        <v>2024</v>
      </c>
      <c r="S76">
        <v>15</v>
      </c>
      <c r="T76">
        <v>6</v>
      </c>
      <c r="U76" t="s">
        <v>31</v>
      </c>
      <c r="V76" t="s">
        <v>31</v>
      </c>
      <c r="W76">
        <v>682</v>
      </c>
      <c r="X76" t="s">
        <v>1261</v>
      </c>
      <c r="Y76" t="str">
        <f>HYPERLINK("http://dx.doi.org/10.3390/genes15060682","http://dx.doi.org/10.3390/genes15060682")</f>
        <v>http://dx.doi.org/10.3390/genes15060682</v>
      </c>
      <c r="Z76" t="s">
        <v>31</v>
      </c>
      <c r="AA76" t="s">
        <v>1262</v>
      </c>
      <c r="AB76" t="s">
        <v>1262</v>
      </c>
      <c r="AC76" t="s">
        <v>47</v>
      </c>
      <c r="AD76" t="s">
        <v>1263</v>
      </c>
      <c r="AE76" t="str">
        <f>HYPERLINK("https%3A%2F%2Fwww.webofscience.com%2Fwos%2Fwoscc%2Ffull-record%2FWOS:001257267300001","View Full Record in Web of Science")</f>
        <v>View Full Record in Web of Science</v>
      </c>
      <c r="AG76" s="4" t="s">
        <v>3658</v>
      </c>
      <c r="AH76" s="4" t="s">
        <v>3694</v>
      </c>
      <c r="AI76" s="4" t="s">
        <v>3700</v>
      </c>
      <c r="AJ76">
        <v>1</v>
      </c>
      <c r="AK76" s="4" t="s">
        <v>4033</v>
      </c>
      <c r="AL76" s="4" t="s">
        <v>3639</v>
      </c>
      <c r="AM76" s="4" t="s">
        <v>4034</v>
      </c>
      <c r="AN76" s="4" t="s">
        <v>3650</v>
      </c>
      <c r="AO76" s="9" t="s">
        <v>4032</v>
      </c>
      <c r="AP76" s="4" t="s">
        <v>3651</v>
      </c>
      <c r="AQ76" s="4" t="s">
        <v>4035</v>
      </c>
      <c r="AR76" s="4">
        <v>21</v>
      </c>
      <c r="AS76" s="4" t="s">
        <v>3653</v>
      </c>
      <c r="AT76" s="4" t="s">
        <v>4036</v>
      </c>
    </row>
    <row r="77" spans="1:46" ht="20.100000000000001" customHeight="1" x14ac:dyDescent="0.2">
      <c r="A77" t="s">
        <v>1265</v>
      </c>
      <c r="B77" t="s">
        <v>1266</v>
      </c>
      <c r="C77" t="s">
        <v>1267</v>
      </c>
      <c r="D77" t="s">
        <v>1268</v>
      </c>
      <c r="E77" t="s">
        <v>1269</v>
      </c>
      <c r="F77" t="s">
        <v>1270</v>
      </c>
      <c r="G77" s="4" t="s">
        <v>1271</v>
      </c>
      <c r="H77" t="s">
        <v>1272</v>
      </c>
      <c r="I77" t="s">
        <v>31</v>
      </c>
      <c r="J77" t="s">
        <v>1273</v>
      </c>
      <c r="K77" s="4" t="s">
        <v>3691</v>
      </c>
      <c r="L77" t="s">
        <v>1274</v>
      </c>
      <c r="M77" t="s">
        <v>1275</v>
      </c>
      <c r="N77" t="s">
        <v>1276</v>
      </c>
      <c r="O77" t="s">
        <v>1277</v>
      </c>
      <c r="P77">
        <v>4</v>
      </c>
      <c r="Q77" t="s">
        <v>169</v>
      </c>
      <c r="R77">
        <v>2024</v>
      </c>
      <c r="S77">
        <v>275</v>
      </c>
      <c r="T77" t="s">
        <v>31</v>
      </c>
      <c r="U77" t="s">
        <v>31</v>
      </c>
      <c r="V77" t="s">
        <v>31</v>
      </c>
      <c r="W77">
        <v>106294</v>
      </c>
      <c r="X77" t="s">
        <v>1278</v>
      </c>
      <c r="Y77" t="str">
        <f>HYPERLINK("http://dx.doi.org/10.1016/j.applanim.2024.106294","http://dx.doi.org/10.1016/j.applanim.2024.106294")</f>
        <v>http://dx.doi.org/10.1016/j.applanim.2024.106294</v>
      </c>
      <c r="Z77" t="s">
        <v>1264</v>
      </c>
      <c r="AA77" t="s">
        <v>1279</v>
      </c>
      <c r="AB77" t="s">
        <v>1280</v>
      </c>
      <c r="AC77" t="s">
        <v>47</v>
      </c>
      <c r="AD77" t="s">
        <v>1281</v>
      </c>
      <c r="AE77" t="str">
        <f>HYPERLINK("https%3A%2F%2Fwww.webofscience.com%2Fwos%2Fwoscc%2Ffull-record%2FWOS:001246216600001","View Full Record in Web of Science")</f>
        <v>View Full Record in Web of Science</v>
      </c>
      <c r="AG77" s="4" t="s">
        <v>3658</v>
      </c>
      <c r="AH77" s="4" t="s">
        <v>3684</v>
      </c>
      <c r="AI77" s="4" t="s">
        <v>3700</v>
      </c>
      <c r="AJ77">
        <v>2</v>
      </c>
      <c r="AK77" s="4" t="s">
        <v>4038</v>
      </c>
      <c r="AL77" s="4" t="s">
        <v>3650</v>
      </c>
      <c r="AM77" s="4" t="s">
        <v>4039</v>
      </c>
      <c r="AN77" s="4" t="s">
        <v>3650</v>
      </c>
      <c r="AO77" s="9" t="s">
        <v>4037</v>
      </c>
      <c r="AP77" s="4" t="s">
        <v>3696</v>
      </c>
      <c r="AQ77" s="4" t="s">
        <v>4040</v>
      </c>
      <c r="AR77" s="4">
        <v>9</v>
      </c>
      <c r="AS77" s="4" t="s">
        <v>3653</v>
      </c>
      <c r="AT77" s="4" t="s">
        <v>4041</v>
      </c>
    </row>
    <row r="78" spans="1:46" ht="20.100000000000001" customHeight="1" x14ac:dyDescent="0.2">
      <c r="A78" t="s">
        <v>1283</v>
      </c>
      <c r="B78" t="s">
        <v>1284</v>
      </c>
      <c r="C78" t="s">
        <v>1285</v>
      </c>
      <c r="D78" t="s">
        <v>1282</v>
      </c>
      <c r="E78" t="s">
        <v>1286</v>
      </c>
      <c r="F78" t="s">
        <v>31</v>
      </c>
      <c r="G78" s="4" t="s">
        <v>1287</v>
      </c>
      <c r="H78" t="s">
        <v>1288</v>
      </c>
      <c r="I78" t="s">
        <v>1289</v>
      </c>
      <c r="J78" t="s">
        <v>1290</v>
      </c>
      <c r="K78" s="4" t="s">
        <v>3692</v>
      </c>
      <c r="L78" t="s">
        <v>1291</v>
      </c>
      <c r="M78" t="s">
        <v>31</v>
      </c>
      <c r="N78" t="s">
        <v>31</v>
      </c>
      <c r="O78" t="s">
        <v>31</v>
      </c>
      <c r="P78">
        <v>0</v>
      </c>
      <c r="Q78" t="s">
        <v>169</v>
      </c>
      <c r="R78">
        <v>2024</v>
      </c>
      <c r="S78">
        <v>45</v>
      </c>
      <c r="T78">
        <v>3</v>
      </c>
      <c r="U78" t="s">
        <v>31</v>
      </c>
      <c r="V78" t="s">
        <v>31</v>
      </c>
      <c r="W78" t="s">
        <v>31</v>
      </c>
      <c r="X78" t="s">
        <v>1292</v>
      </c>
      <c r="Y78" t="str">
        <f>HYPERLINK("http://dx.doi.org/10.1111/maec.12803","http://dx.doi.org/10.1111/maec.12803")</f>
        <v>http://dx.doi.org/10.1111/maec.12803</v>
      </c>
      <c r="Z78" t="s">
        <v>1293</v>
      </c>
      <c r="AA78" t="s">
        <v>119</v>
      </c>
      <c r="AB78" t="s">
        <v>119</v>
      </c>
      <c r="AC78" t="s">
        <v>47</v>
      </c>
      <c r="AD78" t="s">
        <v>1294</v>
      </c>
      <c r="AE78" t="str">
        <f>HYPERLINK("https%3A%2F%2Fwww.webofscience.com%2Fwos%2Fwoscc%2Ffull-record%2FWOS:001194066900001","View Full Record in Web of Science")</f>
        <v>View Full Record in Web of Science</v>
      </c>
      <c r="AG78" s="4" t="s">
        <v>3667</v>
      </c>
      <c r="AH78" s="4" t="s">
        <v>3637</v>
      </c>
      <c r="AI78" s="4" t="s">
        <v>3632</v>
      </c>
      <c r="AJ78">
        <v>0</v>
      </c>
      <c r="AK78" s="5" t="s">
        <v>4042</v>
      </c>
      <c r="AL78" s="4" t="s">
        <v>3639</v>
      </c>
      <c r="AM78" s="4" t="s">
        <v>4043</v>
      </c>
      <c r="AN78" s="4" t="s">
        <v>3639</v>
      </c>
      <c r="AP78" s="4" t="s">
        <v>3670</v>
      </c>
      <c r="AQ78" s="4" t="s">
        <v>4044</v>
      </c>
      <c r="AR78" s="4" t="s">
        <v>3672</v>
      </c>
      <c r="AS78">
        <v>0</v>
      </c>
      <c r="AT78" s="5" t="s">
        <v>4045</v>
      </c>
    </row>
    <row r="79" spans="1:46" ht="20.100000000000001" customHeight="1" x14ac:dyDescent="0.2">
      <c r="A79" t="s">
        <v>1295</v>
      </c>
      <c r="B79" t="s">
        <v>1296</v>
      </c>
      <c r="C79" t="s">
        <v>1297</v>
      </c>
      <c r="D79" t="s">
        <v>239</v>
      </c>
      <c r="E79" t="s">
        <v>1298</v>
      </c>
      <c r="F79" t="s">
        <v>1299</v>
      </c>
      <c r="G79" s="4" t="s">
        <v>1300</v>
      </c>
      <c r="H79" t="s">
        <v>1301</v>
      </c>
      <c r="I79" t="s">
        <v>730</v>
      </c>
      <c r="J79" t="s">
        <v>1302</v>
      </c>
      <c r="K79" s="4" t="s">
        <v>3691</v>
      </c>
      <c r="L79" t="s">
        <v>732</v>
      </c>
      <c r="M79" t="s">
        <v>1303</v>
      </c>
      <c r="N79" t="s">
        <v>1303</v>
      </c>
      <c r="O79" t="s">
        <v>1304</v>
      </c>
      <c r="P79">
        <v>2</v>
      </c>
      <c r="Q79" t="s">
        <v>1305</v>
      </c>
      <c r="R79">
        <v>2024</v>
      </c>
      <c r="S79">
        <v>14</v>
      </c>
      <c r="T79">
        <v>3</v>
      </c>
      <c r="U79" t="s">
        <v>31</v>
      </c>
      <c r="V79" t="s">
        <v>31</v>
      </c>
      <c r="W79" t="s">
        <v>1306</v>
      </c>
      <c r="X79" t="s">
        <v>1307</v>
      </c>
      <c r="Y79" t="str">
        <f>HYPERLINK("http://dx.doi.org/10.1002/ece3.11107","http://dx.doi.org/10.1002/ece3.11107")</f>
        <v>http://dx.doi.org/10.1002/ece3.11107</v>
      </c>
      <c r="Z79" t="s">
        <v>31</v>
      </c>
      <c r="AA79" t="s">
        <v>253</v>
      </c>
      <c r="AB79" t="s">
        <v>254</v>
      </c>
      <c r="AC79" t="s">
        <v>47</v>
      </c>
      <c r="AD79" t="s">
        <v>1308</v>
      </c>
      <c r="AE79" t="str">
        <f>HYPERLINK("https%3A%2F%2Fwww.webofscience.com%2Fwos%2Fwoscc%2Ffull-record%2FWOS:001187378300001","View Full Record in Web of Science")</f>
        <v>View Full Record in Web of Science</v>
      </c>
      <c r="AG79" s="4" t="s">
        <v>3667</v>
      </c>
      <c r="AI79" s="4" t="s">
        <v>3719</v>
      </c>
      <c r="AJ79">
        <v>3</v>
      </c>
      <c r="AK79" s="4" t="s">
        <v>4046</v>
      </c>
      <c r="AL79" s="4" t="s">
        <v>3650</v>
      </c>
      <c r="AM79" s="4" t="s">
        <v>4049</v>
      </c>
      <c r="AN79" s="4" t="s">
        <v>3639</v>
      </c>
      <c r="AP79" s="4" t="s">
        <v>3802</v>
      </c>
      <c r="AQ79" s="4" t="s">
        <v>4047</v>
      </c>
      <c r="AR79" s="4">
        <v>3</v>
      </c>
      <c r="AS79" s="4" t="s">
        <v>3708</v>
      </c>
      <c r="AT79" s="4" t="s">
        <v>4048</v>
      </c>
    </row>
    <row r="80" spans="1:46" ht="20.100000000000001" customHeight="1" x14ac:dyDescent="0.2">
      <c r="A80" t="s">
        <v>1309</v>
      </c>
      <c r="B80" t="s">
        <v>1310</v>
      </c>
      <c r="C80" t="s">
        <v>1311</v>
      </c>
      <c r="D80" t="s">
        <v>1312</v>
      </c>
      <c r="E80" t="s">
        <v>1313</v>
      </c>
      <c r="F80" t="s">
        <v>1314</v>
      </c>
      <c r="G80" t="s">
        <v>1315</v>
      </c>
      <c r="H80" t="s">
        <v>1316</v>
      </c>
      <c r="I80" t="s">
        <v>1317</v>
      </c>
      <c r="J80" t="s">
        <v>1318</v>
      </c>
      <c r="K80" s="4" t="s">
        <v>3691</v>
      </c>
      <c r="L80" t="s">
        <v>1319</v>
      </c>
      <c r="M80" t="s">
        <v>1320</v>
      </c>
      <c r="N80" t="s">
        <v>1321</v>
      </c>
      <c r="O80" t="s">
        <v>1322</v>
      </c>
      <c r="P80">
        <v>30</v>
      </c>
      <c r="Q80" t="s">
        <v>269</v>
      </c>
      <c r="R80">
        <v>2024</v>
      </c>
      <c r="S80">
        <v>298</v>
      </c>
      <c r="T80" t="s">
        <v>31</v>
      </c>
      <c r="U80" t="s">
        <v>31</v>
      </c>
      <c r="V80" t="s">
        <v>31</v>
      </c>
      <c r="W80">
        <v>108638</v>
      </c>
      <c r="X80" t="s">
        <v>1323</v>
      </c>
      <c r="Y80" t="str">
        <f>HYPERLINK("http://dx.doi.org/10.1016/j.ecss.2024.108638","http://dx.doi.org/10.1016/j.ecss.2024.108638")</f>
        <v>http://dx.doi.org/10.1016/j.ecss.2024.108638</v>
      </c>
      <c r="Z80" t="s">
        <v>1324</v>
      </c>
      <c r="AA80" t="s">
        <v>431</v>
      </c>
      <c r="AB80" t="s">
        <v>431</v>
      </c>
      <c r="AC80" t="s">
        <v>47</v>
      </c>
      <c r="AD80" t="s">
        <v>1325</v>
      </c>
      <c r="AE80" t="str">
        <f>HYPERLINK("https%3A%2F%2Fwww.webofscience.com%2Fwos%2Fwoscc%2Ffull-record%2FWOS:001170900200001","View Full Record in Web of Science")</f>
        <v>View Full Record in Web of Science</v>
      </c>
      <c r="AG80" s="4" t="s">
        <v>3667</v>
      </c>
      <c r="AI80" s="4" t="s">
        <v>3719</v>
      </c>
      <c r="AJ80">
        <v>1</v>
      </c>
      <c r="AK80" t="s">
        <v>4050</v>
      </c>
      <c r="AL80" s="4" t="s">
        <v>3639</v>
      </c>
      <c r="AM80" t="s">
        <v>4051</v>
      </c>
      <c r="AN80" s="4" t="s">
        <v>3639</v>
      </c>
      <c r="AO80" s="4" t="s">
        <v>4052</v>
      </c>
      <c r="AP80" s="4" t="s">
        <v>3721</v>
      </c>
      <c r="AQ80" t="s">
        <v>4054</v>
      </c>
      <c r="AR80" s="4">
        <v>18</v>
      </c>
      <c r="AS80" s="4" t="s">
        <v>3653</v>
      </c>
      <c r="AT80" t="s">
        <v>4053</v>
      </c>
    </row>
    <row r="81" spans="1:46" ht="20.100000000000001" customHeight="1" x14ac:dyDescent="0.2">
      <c r="A81" t="s">
        <v>1326</v>
      </c>
      <c r="B81" t="s">
        <v>1327</v>
      </c>
      <c r="C81" t="s">
        <v>1328</v>
      </c>
      <c r="D81" t="s">
        <v>1329</v>
      </c>
      <c r="E81" t="s">
        <v>1330</v>
      </c>
      <c r="F81" t="s">
        <v>1331</v>
      </c>
      <c r="G81" t="s">
        <v>1332</v>
      </c>
      <c r="H81" t="s">
        <v>1333</v>
      </c>
      <c r="I81" t="s">
        <v>1334</v>
      </c>
      <c r="J81" t="s">
        <v>1335</v>
      </c>
      <c r="K81" s="4" t="s">
        <v>3691</v>
      </c>
      <c r="L81" t="s">
        <v>1336</v>
      </c>
      <c r="M81" t="s">
        <v>1337</v>
      </c>
      <c r="N81" t="s">
        <v>1338</v>
      </c>
      <c r="O81" t="s">
        <v>1339</v>
      </c>
      <c r="P81">
        <v>13</v>
      </c>
      <c r="Q81" t="s">
        <v>911</v>
      </c>
      <c r="R81">
        <v>2024</v>
      </c>
      <c r="S81">
        <v>14</v>
      </c>
      <c r="T81" t="s">
        <v>31</v>
      </c>
      <c r="U81" t="s">
        <v>31</v>
      </c>
      <c r="V81" t="s">
        <v>31</v>
      </c>
      <c r="W81">
        <v>1233661</v>
      </c>
      <c r="X81" t="s">
        <v>1340</v>
      </c>
      <c r="Y81" t="str">
        <f>HYPERLINK("http://dx.doi.org/10.3389/fmicb.2023.1233661","http://dx.doi.org/10.3389/fmicb.2023.1233661")</f>
        <v>http://dx.doi.org/10.3389/fmicb.2023.1233661</v>
      </c>
      <c r="Z81" t="s">
        <v>31</v>
      </c>
      <c r="AA81" t="s">
        <v>202</v>
      </c>
      <c r="AB81" t="s">
        <v>202</v>
      </c>
      <c r="AC81" t="s">
        <v>47</v>
      </c>
      <c r="AD81" t="s">
        <v>1341</v>
      </c>
      <c r="AE81" t="str">
        <f>HYPERLINK("https%3A%2F%2Fwww.webofscience.com%2Fwos%2Fwoscc%2Ffull-record%2FWOS:001156406500001","View Full Record in Web of Science")</f>
        <v>View Full Record in Web of Science</v>
      </c>
      <c r="AG81" s="4" t="s">
        <v>3647</v>
      </c>
      <c r="AI81" s="4" t="s">
        <v>3648</v>
      </c>
      <c r="AJ81">
        <v>0</v>
      </c>
      <c r="AK81" s="4" t="s">
        <v>4055</v>
      </c>
      <c r="AL81" s="4" t="s">
        <v>3735</v>
      </c>
      <c r="AM81" s="4" t="s">
        <v>4056</v>
      </c>
      <c r="AN81" s="4" t="s">
        <v>3650</v>
      </c>
      <c r="AO81" s="9" t="s">
        <v>4057</v>
      </c>
      <c r="AP81" s="4" t="s">
        <v>3706</v>
      </c>
      <c r="AQ81" s="4" t="s">
        <v>4059</v>
      </c>
      <c r="AR81" s="4">
        <v>16</v>
      </c>
      <c r="AS81" s="4" t="s">
        <v>3653</v>
      </c>
      <c r="AT81" s="4" t="s">
        <v>4058</v>
      </c>
    </row>
    <row r="82" spans="1:46" ht="20.100000000000001" customHeight="1" x14ac:dyDescent="0.2">
      <c r="A82" t="s">
        <v>1342</v>
      </c>
      <c r="B82" t="s">
        <v>1343</v>
      </c>
      <c r="C82" t="s">
        <v>1344</v>
      </c>
      <c r="D82" t="s">
        <v>1345</v>
      </c>
      <c r="E82" t="s">
        <v>1346</v>
      </c>
      <c r="F82" t="s">
        <v>1347</v>
      </c>
      <c r="G82" t="s">
        <v>1348</v>
      </c>
      <c r="H82" t="s">
        <v>1349</v>
      </c>
      <c r="I82" t="s">
        <v>1350</v>
      </c>
      <c r="J82" t="s">
        <v>1351</v>
      </c>
      <c r="K82" s="4" t="s">
        <v>3691</v>
      </c>
      <c r="L82" t="s">
        <v>31</v>
      </c>
      <c r="M82" t="s">
        <v>1352</v>
      </c>
      <c r="N82" t="s">
        <v>1353</v>
      </c>
      <c r="O82" t="s">
        <v>1354</v>
      </c>
      <c r="P82">
        <v>0</v>
      </c>
      <c r="Q82" t="s">
        <v>31</v>
      </c>
      <c r="R82">
        <v>2024</v>
      </c>
      <c r="S82">
        <v>19</v>
      </c>
      <c r="T82" t="s">
        <v>31</v>
      </c>
      <c r="U82">
        <v>127</v>
      </c>
      <c r="V82">
        <v>142</v>
      </c>
      <c r="W82" t="s">
        <v>31</v>
      </c>
      <c r="X82" t="s">
        <v>31</v>
      </c>
      <c r="Y82" t="s">
        <v>31</v>
      </c>
      <c r="Z82" t="s">
        <v>31</v>
      </c>
      <c r="AA82" t="s">
        <v>1355</v>
      </c>
      <c r="AB82" t="s">
        <v>1356</v>
      </c>
      <c r="AC82" t="s">
        <v>47</v>
      </c>
      <c r="AD82" t="s">
        <v>1357</v>
      </c>
      <c r="AE82" t="str">
        <f>HYPERLINK("https%3A%2F%2Fwww.webofscience.com%2Fwos%2Fwoscc%2Ffull-record%2FWOS:001381438700001","View Full Record in Web of Science")</f>
        <v>View Full Record in Web of Science</v>
      </c>
      <c r="AG82" s="4" t="s">
        <v>3637</v>
      </c>
      <c r="AI82" s="4" t="s">
        <v>3668</v>
      </c>
      <c r="AJ82">
        <v>2</v>
      </c>
      <c r="AK82" s="4" t="s">
        <v>4060</v>
      </c>
      <c r="AL82" s="4" t="s">
        <v>3735</v>
      </c>
      <c r="AM82" s="4" t="s">
        <v>4061</v>
      </c>
      <c r="AN82" s="4" t="s">
        <v>3639</v>
      </c>
      <c r="AP82" s="4" t="s">
        <v>3670</v>
      </c>
      <c r="AQ82" s="4" t="s">
        <v>4062</v>
      </c>
      <c r="AR82" s="4">
        <v>0</v>
      </c>
      <c r="AS82">
        <v>0</v>
      </c>
      <c r="AT82" s="4" t="s">
        <v>4063</v>
      </c>
    </row>
    <row r="83" spans="1:46" ht="20.100000000000001" customHeight="1" x14ac:dyDescent="0.2">
      <c r="A83" t="s">
        <v>1358</v>
      </c>
      <c r="B83" t="s">
        <v>1359</v>
      </c>
      <c r="C83" t="s">
        <v>1360</v>
      </c>
      <c r="D83" t="s">
        <v>1361</v>
      </c>
      <c r="E83" t="s">
        <v>1362</v>
      </c>
      <c r="F83" t="s">
        <v>31</v>
      </c>
      <c r="G83" t="s">
        <v>1363</v>
      </c>
      <c r="H83" t="s">
        <v>1364</v>
      </c>
      <c r="I83" t="s">
        <v>1365</v>
      </c>
      <c r="J83" t="s">
        <v>1366</v>
      </c>
      <c r="K83" s="4" t="s">
        <v>4064</v>
      </c>
      <c r="L83" t="s">
        <v>1367</v>
      </c>
      <c r="M83" t="s">
        <v>31</v>
      </c>
      <c r="N83" t="s">
        <v>31</v>
      </c>
      <c r="O83" t="s">
        <v>1368</v>
      </c>
      <c r="P83">
        <v>0</v>
      </c>
      <c r="Q83" t="s">
        <v>31</v>
      </c>
      <c r="R83">
        <v>2024</v>
      </c>
      <c r="S83">
        <v>67</v>
      </c>
      <c r="T83">
        <v>1</v>
      </c>
      <c r="U83">
        <v>381</v>
      </c>
      <c r="V83">
        <v>388</v>
      </c>
      <c r="W83" t="s">
        <v>31</v>
      </c>
      <c r="X83" t="s">
        <v>31</v>
      </c>
      <c r="Y83" t="s">
        <v>31</v>
      </c>
      <c r="Z83" t="s">
        <v>31</v>
      </c>
      <c r="AA83" t="s">
        <v>1369</v>
      </c>
      <c r="AB83" t="s">
        <v>1370</v>
      </c>
      <c r="AC83" t="s">
        <v>47</v>
      </c>
      <c r="AD83" t="s">
        <v>1371</v>
      </c>
      <c r="AE83" t="str">
        <f>HYPERLINK("https%3A%2F%2Fwww.webofscience.com%2Fwos%2Fwoscc%2Ffull-record%2FWOS:001304632500048","View Full Record in Web of Science")</f>
        <v>View Full Record in Web of Science</v>
      </c>
      <c r="AG83" s="4" t="s">
        <v>3637</v>
      </c>
      <c r="AI83" s="4" t="s">
        <v>3632</v>
      </c>
      <c r="AJ83">
        <v>0</v>
      </c>
      <c r="AK83" s="4" t="s">
        <v>4065</v>
      </c>
      <c r="AL83" s="4" t="s">
        <v>3639</v>
      </c>
      <c r="AN83" s="4" t="s">
        <v>3639</v>
      </c>
      <c r="AP83" s="4" t="s">
        <v>3635</v>
      </c>
      <c r="AQ83" s="4" t="s">
        <v>4066</v>
      </c>
      <c r="AR83" s="4" t="s">
        <v>3672</v>
      </c>
      <c r="AS83" s="4" t="s">
        <v>3633</v>
      </c>
      <c r="AT83" s="4" t="s">
        <v>4067</v>
      </c>
    </row>
    <row r="84" spans="1:46" ht="20.100000000000001" customHeight="1" x14ac:dyDescent="0.2">
      <c r="A84" t="s">
        <v>1372</v>
      </c>
      <c r="B84" t="s">
        <v>1373</v>
      </c>
      <c r="C84" t="s">
        <v>1374</v>
      </c>
      <c r="D84" t="s">
        <v>107</v>
      </c>
      <c r="E84" t="s">
        <v>1375</v>
      </c>
      <c r="F84" t="s">
        <v>1376</v>
      </c>
      <c r="G84" t="s">
        <v>1377</v>
      </c>
      <c r="H84" t="s">
        <v>1378</v>
      </c>
      <c r="I84" t="s">
        <v>1379</v>
      </c>
      <c r="J84" t="s">
        <v>1380</v>
      </c>
      <c r="K84" s="4" t="s">
        <v>3664</v>
      </c>
      <c r="L84" t="s">
        <v>1381</v>
      </c>
      <c r="M84" t="s">
        <v>1382</v>
      </c>
      <c r="N84" t="s">
        <v>1383</v>
      </c>
      <c r="O84" t="s">
        <v>1384</v>
      </c>
      <c r="P84">
        <v>5</v>
      </c>
      <c r="Q84" t="s">
        <v>44</v>
      </c>
      <c r="R84">
        <v>2024</v>
      </c>
      <c r="S84">
        <v>171</v>
      </c>
      <c r="T84">
        <v>1</v>
      </c>
      <c r="U84" t="s">
        <v>31</v>
      </c>
      <c r="V84" t="s">
        <v>31</v>
      </c>
      <c r="W84">
        <v>14</v>
      </c>
      <c r="X84" t="s">
        <v>1385</v>
      </c>
      <c r="Y84" t="str">
        <f>HYPERLINK("http://dx.doi.org/10.1007/s00227-023-04333-x","http://dx.doi.org/10.1007/s00227-023-04333-x")</f>
        <v>http://dx.doi.org/10.1007/s00227-023-04333-x</v>
      </c>
      <c r="Z84" t="s">
        <v>31</v>
      </c>
      <c r="AA84" t="s">
        <v>119</v>
      </c>
      <c r="AB84" t="s">
        <v>119</v>
      </c>
      <c r="AC84" t="s">
        <v>47</v>
      </c>
      <c r="AD84" t="s">
        <v>1386</v>
      </c>
      <c r="AE84" t="str">
        <f>HYPERLINK("https%3A%2F%2Fwww.webofscience.com%2Fwos%2Fwoscc%2Ffull-record%2FWOS:001107984900001","View Full Record in Web of Science")</f>
        <v>View Full Record in Web of Science</v>
      </c>
      <c r="AG84" s="4" t="s">
        <v>3647</v>
      </c>
      <c r="AH84" s="4" t="s">
        <v>3667</v>
      </c>
      <c r="AI84" s="4" t="s">
        <v>3648</v>
      </c>
      <c r="AJ84">
        <v>2</v>
      </c>
      <c r="AK84" s="4" t="s">
        <v>4068</v>
      </c>
      <c r="AL84" s="4" t="s">
        <v>3650</v>
      </c>
      <c r="AM84" s="4" t="s">
        <v>4069</v>
      </c>
      <c r="AN84" s="4" t="s">
        <v>3650</v>
      </c>
      <c r="AO84" s="9" t="s">
        <v>4070</v>
      </c>
      <c r="AP84" s="4" t="s">
        <v>3706</v>
      </c>
      <c r="AQ84" s="4" t="s">
        <v>4071</v>
      </c>
      <c r="AR84" s="4">
        <v>20</v>
      </c>
      <c r="AS84" s="4" t="s">
        <v>4073</v>
      </c>
      <c r="AT84" s="4" t="s">
        <v>4072</v>
      </c>
    </row>
    <row r="85" spans="1:46" ht="20.100000000000001" customHeight="1" x14ac:dyDescent="0.2">
      <c r="A85" t="s">
        <v>1387</v>
      </c>
      <c r="B85" t="s">
        <v>1388</v>
      </c>
      <c r="C85" t="s">
        <v>1389</v>
      </c>
      <c r="D85" t="s">
        <v>259</v>
      </c>
      <c r="E85" t="s">
        <v>1390</v>
      </c>
      <c r="F85" t="s">
        <v>1391</v>
      </c>
      <c r="G85" s="4" t="s">
        <v>1392</v>
      </c>
      <c r="H85" t="s">
        <v>1393</v>
      </c>
      <c r="I85" t="s">
        <v>1394</v>
      </c>
      <c r="J85" t="s">
        <v>1395</v>
      </c>
      <c r="K85" s="4" t="s">
        <v>3704</v>
      </c>
      <c r="L85" t="s">
        <v>1396</v>
      </c>
      <c r="M85" t="s">
        <v>1397</v>
      </c>
      <c r="N85" t="s">
        <v>1398</v>
      </c>
      <c r="O85" t="s">
        <v>1399</v>
      </c>
      <c r="P85">
        <v>7</v>
      </c>
      <c r="Q85" t="s">
        <v>269</v>
      </c>
      <c r="R85">
        <v>2024</v>
      </c>
      <c r="S85">
        <v>35</v>
      </c>
      <c r="T85" t="s">
        <v>31</v>
      </c>
      <c r="U85" t="s">
        <v>31</v>
      </c>
      <c r="V85" t="s">
        <v>31</v>
      </c>
      <c r="W85">
        <v>100823</v>
      </c>
      <c r="X85" t="s">
        <v>1400</v>
      </c>
      <c r="Y85" t="str">
        <f>HYPERLINK("http://dx.doi.org/10.1016/j.ijgfs.2023.100823","http://dx.doi.org/10.1016/j.ijgfs.2023.100823")</f>
        <v>http://dx.doi.org/10.1016/j.ijgfs.2023.100823</v>
      </c>
      <c r="Z85" t="s">
        <v>1401</v>
      </c>
      <c r="AA85" t="s">
        <v>46</v>
      </c>
      <c r="AB85" t="s">
        <v>46</v>
      </c>
      <c r="AC85" t="s">
        <v>47</v>
      </c>
      <c r="AD85" t="s">
        <v>1402</v>
      </c>
      <c r="AE85" t="str">
        <f>HYPERLINK("https%3A%2F%2Fwww.webofscience.com%2Fwos%2Fwoscc%2Ffull-record%2FWOS:001139049700001","View Full Record in Web of Science")</f>
        <v>View Full Record in Web of Science</v>
      </c>
      <c r="AG85" s="4" t="s">
        <v>3637</v>
      </c>
      <c r="AI85" s="4" t="s">
        <v>3632</v>
      </c>
      <c r="AJ85">
        <v>0</v>
      </c>
      <c r="AK85" s="4" t="s">
        <v>4074</v>
      </c>
      <c r="AL85" s="4" t="s">
        <v>3639</v>
      </c>
      <c r="AM85" s="4" t="s">
        <v>4075</v>
      </c>
      <c r="AN85" s="4" t="s">
        <v>3639</v>
      </c>
      <c r="AP85" s="4" t="s">
        <v>3635</v>
      </c>
      <c r="AQ85" s="4" t="s">
        <v>4076</v>
      </c>
      <c r="AR85" s="4" t="s">
        <v>3672</v>
      </c>
      <c r="AS85" s="4" t="s">
        <v>3633</v>
      </c>
      <c r="AT85" s="4" t="s">
        <v>4077</v>
      </c>
    </row>
    <row r="86" spans="1:46" ht="20.100000000000001" customHeight="1" x14ac:dyDescent="0.2">
      <c r="A86" t="s">
        <v>1405</v>
      </c>
      <c r="B86" t="s">
        <v>1406</v>
      </c>
      <c r="C86" t="s">
        <v>1407</v>
      </c>
      <c r="D86" t="s">
        <v>1408</v>
      </c>
      <c r="E86" t="s">
        <v>1409</v>
      </c>
      <c r="F86" t="s">
        <v>1410</v>
      </c>
      <c r="G86" t="s">
        <v>1411</v>
      </c>
      <c r="H86" t="s">
        <v>1412</v>
      </c>
      <c r="I86" t="s">
        <v>1413</v>
      </c>
      <c r="J86" t="s">
        <v>1414</v>
      </c>
      <c r="K86" s="4" t="s">
        <v>3625</v>
      </c>
      <c r="L86" t="s">
        <v>1415</v>
      </c>
      <c r="M86" t="s">
        <v>1416</v>
      </c>
      <c r="N86" t="s">
        <v>1416</v>
      </c>
      <c r="O86" t="s">
        <v>1417</v>
      </c>
      <c r="P86">
        <v>9</v>
      </c>
      <c r="Q86" t="s">
        <v>452</v>
      </c>
      <c r="R86">
        <v>2023</v>
      </c>
      <c r="S86">
        <v>12</v>
      </c>
      <c r="T86">
        <v>12</v>
      </c>
      <c r="U86" t="s">
        <v>31</v>
      </c>
      <c r="V86" t="s">
        <v>31</v>
      </c>
      <c r="W86">
        <v>1487</v>
      </c>
      <c r="X86" t="s">
        <v>1418</v>
      </c>
      <c r="Y86" t="str">
        <f>HYPERLINK("http://dx.doi.org/10.3390/biology12121487","http://dx.doi.org/10.3390/biology12121487")</f>
        <v>http://dx.doi.org/10.3390/biology12121487</v>
      </c>
      <c r="Z86" t="s">
        <v>31</v>
      </c>
      <c r="AA86" t="s">
        <v>335</v>
      </c>
      <c r="AB86" t="s">
        <v>336</v>
      </c>
      <c r="AC86" t="s">
        <v>47</v>
      </c>
      <c r="AD86" t="s">
        <v>1419</v>
      </c>
      <c r="AE86" t="str">
        <f>HYPERLINK("https%3A%2F%2Fwww.webofscience.com%2Fwos%2Fwoscc%2Ffull-record%2FWOS:001132697600001","View Full Record in Web of Science")</f>
        <v>View Full Record in Web of Science</v>
      </c>
      <c r="AG86" s="4" t="s">
        <v>3876</v>
      </c>
      <c r="AI86" s="4" t="s">
        <v>4078</v>
      </c>
      <c r="AJ86">
        <v>3</v>
      </c>
      <c r="AK86" s="4" t="s">
        <v>4079</v>
      </c>
      <c r="AL86" s="4" t="s">
        <v>3650</v>
      </c>
      <c r="AM86" s="4" t="s">
        <v>4080</v>
      </c>
      <c r="AN86" s="4" t="s">
        <v>3650</v>
      </c>
      <c r="AO86" s="9" t="s">
        <v>4081</v>
      </c>
      <c r="AP86" s="4" t="s">
        <v>3670</v>
      </c>
      <c r="AQ86" s="4" t="s">
        <v>4082</v>
      </c>
      <c r="AR86" s="4">
        <v>54</v>
      </c>
      <c r="AS86">
        <v>0</v>
      </c>
      <c r="AT86" s="4" t="s">
        <v>4083</v>
      </c>
    </row>
    <row r="87" spans="1:46" ht="20.100000000000001" customHeight="1" x14ac:dyDescent="0.2">
      <c r="A87" t="s">
        <v>1421</v>
      </c>
      <c r="B87" t="s">
        <v>1422</v>
      </c>
      <c r="C87" t="s">
        <v>1423</v>
      </c>
      <c r="D87" t="s">
        <v>367</v>
      </c>
      <c r="E87" t="s">
        <v>1424</v>
      </c>
      <c r="F87" t="s">
        <v>1425</v>
      </c>
      <c r="G87" t="s">
        <v>1426</v>
      </c>
      <c r="H87" t="s">
        <v>1427</v>
      </c>
      <c r="I87" t="s">
        <v>1428</v>
      </c>
      <c r="J87" t="s">
        <v>1429</v>
      </c>
      <c r="K87" s="4" t="s">
        <v>4084</v>
      </c>
      <c r="L87" t="s">
        <v>1430</v>
      </c>
      <c r="M87" t="s">
        <v>1431</v>
      </c>
      <c r="N87" t="s">
        <v>1431</v>
      </c>
      <c r="O87" t="s">
        <v>1064</v>
      </c>
      <c r="P87">
        <v>4</v>
      </c>
      <c r="Q87" t="s">
        <v>62</v>
      </c>
      <c r="R87">
        <v>2023</v>
      </c>
      <c r="S87">
        <v>13</v>
      </c>
      <c r="T87">
        <v>22</v>
      </c>
      <c r="U87" t="s">
        <v>31</v>
      </c>
      <c r="V87" t="s">
        <v>31</v>
      </c>
      <c r="W87">
        <v>3579</v>
      </c>
      <c r="X87" t="s">
        <v>1432</v>
      </c>
      <c r="Y87" t="str">
        <f>HYPERLINK("http://dx.doi.org/10.3390/ani13223579","http://dx.doi.org/10.3390/ani13223579")</f>
        <v>http://dx.doi.org/10.3390/ani13223579</v>
      </c>
      <c r="Z87" t="s">
        <v>31</v>
      </c>
      <c r="AA87" t="s">
        <v>380</v>
      </c>
      <c r="AB87" t="s">
        <v>381</v>
      </c>
      <c r="AC87" t="s">
        <v>47</v>
      </c>
      <c r="AD87" t="s">
        <v>1433</v>
      </c>
      <c r="AE87" t="str">
        <f>HYPERLINK("https%3A%2F%2Fwww.webofscience.com%2Fwos%2Fwoscc%2Ffull-record%2FWOS:001123322100001","View Full Record in Web of Science")</f>
        <v>View Full Record in Web of Science</v>
      </c>
      <c r="AG87" s="4" t="s">
        <v>3684</v>
      </c>
      <c r="AH87" s="4" t="s">
        <v>3647</v>
      </c>
      <c r="AI87" s="4" t="s">
        <v>3685</v>
      </c>
      <c r="AJ87">
        <v>1</v>
      </c>
      <c r="AK87" s="4" t="s">
        <v>4085</v>
      </c>
      <c r="AL87" s="4" t="s">
        <v>3650</v>
      </c>
      <c r="AM87" s="4" t="s">
        <v>4086</v>
      </c>
      <c r="AN87" s="4" t="s">
        <v>3650</v>
      </c>
      <c r="AO87" s="9" t="s">
        <v>4087</v>
      </c>
      <c r="AP87" s="4" t="s">
        <v>3706</v>
      </c>
      <c r="AQ87" s="4" t="s">
        <v>4088</v>
      </c>
      <c r="AR87" s="4">
        <v>9</v>
      </c>
      <c r="AS87" s="4" t="s">
        <v>3653</v>
      </c>
      <c r="AT87" s="4" t="s">
        <v>4089</v>
      </c>
    </row>
    <row r="88" spans="1:46" ht="20.100000000000001" customHeight="1" x14ac:dyDescent="0.2">
      <c r="A88" t="s">
        <v>1435</v>
      </c>
      <c r="B88" t="s">
        <v>1436</v>
      </c>
      <c r="C88" t="s">
        <v>1437</v>
      </c>
      <c r="D88" t="s">
        <v>1438</v>
      </c>
      <c r="E88" t="s">
        <v>1439</v>
      </c>
      <c r="F88" t="s">
        <v>1440</v>
      </c>
      <c r="G88" t="s">
        <v>1441</v>
      </c>
      <c r="H88" t="s">
        <v>1442</v>
      </c>
      <c r="I88" t="s">
        <v>1443</v>
      </c>
      <c r="J88" t="s">
        <v>1444</v>
      </c>
      <c r="K88" s="4" t="s">
        <v>4090</v>
      </c>
      <c r="L88" t="s">
        <v>1445</v>
      </c>
      <c r="M88" t="s">
        <v>1446</v>
      </c>
      <c r="N88" t="s">
        <v>1447</v>
      </c>
      <c r="O88" t="s">
        <v>1448</v>
      </c>
      <c r="P88">
        <v>22</v>
      </c>
      <c r="Q88" t="s">
        <v>1449</v>
      </c>
      <c r="R88">
        <v>2023</v>
      </c>
      <c r="S88">
        <v>13</v>
      </c>
      <c r="T88">
        <v>12</v>
      </c>
      <c r="U88" t="s">
        <v>31</v>
      </c>
      <c r="V88" t="s">
        <v>31</v>
      </c>
      <c r="W88" t="s">
        <v>1450</v>
      </c>
      <c r="X88" t="s">
        <v>1451</v>
      </c>
      <c r="Y88" t="str">
        <f>HYPERLINK("http://dx.doi.org/10.1093/g3journal/jkad220","http://dx.doi.org/10.1093/g3journal/jkad220")</f>
        <v>http://dx.doi.org/10.1093/g3journal/jkad220</v>
      </c>
      <c r="Z88" t="s">
        <v>1434</v>
      </c>
      <c r="AA88" t="s">
        <v>1262</v>
      </c>
      <c r="AB88" t="s">
        <v>1262</v>
      </c>
      <c r="AC88" t="s">
        <v>47</v>
      </c>
      <c r="AD88" t="s">
        <v>1452</v>
      </c>
      <c r="AE88" t="str">
        <f>HYPERLINK("https%3A%2F%2Fwww.webofscience.com%2Fwos%2Fwoscc%2Ffull-record%2FWOS:001095816400001","View Full Record in Web of Science")</f>
        <v>View Full Record in Web of Science</v>
      </c>
      <c r="AG88" s="4" t="s">
        <v>3657</v>
      </c>
      <c r="AH88" s="4" t="s">
        <v>3679</v>
      </c>
      <c r="AI88" s="4" t="s">
        <v>3632</v>
      </c>
      <c r="AJ88">
        <v>0</v>
      </c>
      <c r="AK88" s="4" t="s">
        <v>4092</v>
      </c>
      <c r="AL88" s="4" t="s">
        <v>3650</v>
      </c>
      <c r="AM88" s="4" t="s">
        <v>4093</v>
      </c>
      <c r="AN88" s="4" t="s">
        <v>3650</v>
      </c>
      <c r="AO88" s="4" t="s">
        <v>4091</v>
      </c>
      <c r="AP88" s="4" t="s">
        <v>3651</v>
      </c>
      <c r="AQ88" s="4" t="s">
        <v>4094</v>
      </c>
      <c r="AR88" s="4">
        <v>1</v>
      </c>
      <c r="AS88" s="4" t="s">
        <v>3653</v>
      </c>
      <c r="AT88" s="4" t="s">
        <v>4095</v>
      </c>
    </row>
    <row r="89" spans="1:46" ht="20.100000000000001" customHeight="1" x14ac:dyDescent="0.2">
      <c r="A89" t="s">
        <v>1453</v>
      </c>
      <c r="B89" t="s">
        <v>1454</v>
      </c>
      <c r="C89" t="s">
        <v>1455</v>
      </c>
      <c r="D89" t="s">
        <v>124</v>
      </c>
      <c r="E89" t="s">
        <v>1456</v>
      </c>
      <c r="F89" t="s">
        <v>1457</v>
      </c>
      <c r="G89" t="s">
        <v>1458</v>
      </c>
      <c r="H89" t="s">
        <v>1459</v>
      </c>
      <c r="I89" t="s">
        <v>1460</v>
      </c>
      <c r="J89" t="s">
        <v>1461</v>
      </c>
      <c r="K89" s="4" t="s">
        <v>4100</v>
      </c>
      <c r="L89" t="s">
        <v>1462</v>
      </c>
      <c r="M89" t="s">
        <v>1463</v>
      </c>
      <c r="N89" t="s">
        <v>1464</v>
      </c>
      <c r="O89" t="s">
        <v>1465</v>
      </c>
      <c r="P89">
        <v>15</v>
      </c>
      <c r="Q89" t="s">
        <v>1466</v>
      </c>
      <c r="R89">
        <v>2023</v>
      </c>
      <c r="S89">
        <v>12</v>
      </c>
      <c r="T89">
        <v>19</v>
      </c>
      <c r="U89" t="s">
        <v>31</v>
      </c>
      <c r="V89" t="s">
        <v>31</v>
      </c>
      <c r="W89">
        <v>3631</v>
      </c>
      <c r="X89" t="s">
        <v>1467</v>
      </c>
      <c r="Y89" t="str">
        <f>HYPERLINK("http://dx.doi.org/10.3390/foods12193631","http://dx.doi.org/10.3390/foods12193631")</f>
        <v>http://dx.doi.org/10.3390/foods12193631</v>
      </c>
      <c r="Z89" t="s">
        <v>31</v>
      </c>
      <c r="AA89" t="s">
        <v>46</v>
      </c>
      <c r="AB89" t="s">
        <v>46</v>
      </c>
      <c r="AC89" t="s">
        <v>47</v>
      </c>
      <c r="AD89" t="s">
        <v>1468</v>
      </c>
      <c r="AE89" t="str">
        <f>HYPERLINK("https%3A%2F%2Fwww.webofscience.com%2Fwos%2Fwoscc%2Ffull-record%2FWOS:001085202400001","View Full Record in Web of Science")</f>
        <v>View Full Record in Web of Science</v>
      </c>
      <c r="AG89" s="4" t="s">
        <v>3637</v>
      </c>
      <c r="AI89" s="4" t="s">
        <v>3632</v>
      </c>
      <c r="AJ89">
        <v>0</v>
      </c>
      <c r="AK89" s="4" t="s">
        <v>4096</v>
      </c>
      <c r="AL89" s="4" t="s">
        <v>3639</v>
      </c>
      <c r="AM89" s="4" t="s">
        <v>4097</v>
      </c>
      <c r="AN89" s="4" t="s">
        <v>3639</v>
      </c>
      <c r="AP89" s="4" t="s">
        <v>3635</v>
      </c>
      <c r="AQ89" s="4" t="s">
        <v>4098</v>
      </c>
      <c r="AR89" s="4" t="s">
        <v>3672</v>
      </c>
      <c r="AS89" s="4" t="s">
        <v>3633</v>
      </c>
      <c r="AT89" s="4" t="s">
        <v>4099</v>
      </c>
    </row>
    <row r="90" spans="1:46" ht="20.100000000000001" customHeight="1" x14ac:dyDescent="0.2">
      <c r="A90" t="s">
        <v>1469</v>
      </c>
      <c r="B90" t="s">
        <v>1470</v>
      </c>
      <c r="C90" t="s">
        <v>1471</v>
      </c>
      <c r="D90" t="s">
        <v>223</v>
      </c>
      <c r="E90" t="s">
        <v>31</v>
      </c>
      <c r="F90" t="s">
        <v>1472</v>
      </c>
      <c r="G90" t="s">
        <v>1473</v>
      </c>
      <c r="H90" t="s">
        <v>1474</v>
      </c>
      <c r="I90" t="s">
        <v>1475</v>
      </c>
      <c r="J90" t="s">
        <v>1476</v>
      </c>
      <c r="K90" s="4" t="s">
        <v>4101</v>
      </c>
      <c r="L90" t="s">
        <v>1477</v>
      </c>
      <c r="M90" t="s">
        <v>1478</v>
      </c>
      <c r="N90" t="s">
        <v>1479</v>
      </c>
      <c r="O90" t="s">
        <v>1480</v>
      </c>
      <c r="P90">
        <v>6</v>
      </c>
      <c r="Q90" t="s">
        <v>1481</v>
      </c>
      <c r="R90">
        <v>2023</v>
      </c>
      <c r="S90">
        <v>13</v>
      </c>
      <c r="T90">
        <v>1</v>
      </c>
      <c r="U90" t="s">
        <v>31</v>
      </c>
      <c r="V90" t="s">
        <v>31</v>
      </c>
      <c r="W90">
        <v>15492</v>
      </c>
      <c r="X90" t="s">
        <v>1482</v>
      </c>
      <c r="Y90" t="str">
        <f>HYPERLINK("http://dx.doi.org/10.1038/s41598-023-42435-0","http://dx.doi.org/10.1038/s41598-023-42435-0")</f>
        <v>http://dx.doi.org/10.1038/s41598-023-42435-0</v>
      </c>
      <c r="Z90" t="s">
        <v>31</v>
      </c>
      <c r="AA90" t="s">
        <v>101</v>
      </c>
      <c r="AB90" t="s">
        <v>102</v>
      </c>
      <c r="AC90" t="s">
        <v>47</v>
      </c>
      <c r="AD90" t="s">
        <v>1483</v>
      </c>
      <c r="AE90" t="str">
        <f>HYPERLINK("https%3A%2F%2Fwww.webofscience.com%2Fwos%2Fwoscc%2Ffull-record%2FWOS:001089134700027","View Full Record in Web of Science")</f>
        <v>View Full Record in Web of Science</v>
      </c>
      <c r="AG90" s="4" t="s">
        <v>3679</v>
      </c>
      <c r="AH90" s="4" t="s">
        <v>3657</v>
      </c>
      <c r="AI90" s="4" t="s">
        <v>3632</v>
      </c>
      <c r="AJ90">
        <v>0</v>
      </c>
      <c r="AK90" s="4" t="s">
        <v>4102</v>
      </c>
      <c r="AL90" s="4" t="s">
        <v>3639</v>
      </c>
      <c r="AM90" s="4" t="s">
        <v>4103</v>
      </c>
      <c r="AN90" s="4" t="s">
        <v>3650</v>
      </c>
      <c r="AO90" s="4" t="s">
        <v>4104</v>
      </c>
      <c r="AP90" s="4" t="s">
        <v>3651</v>
      </c>
      <c r="AQ90" s="4" t="s">
        <v>4105</v>
      </c>
      <c r="AR90" s="4" t="s">
        <v>3672</v>
      </c>
      <c r="AS90" s="4" t="s">
        <v>3653</v>
      </c>
      <c r="AT90" s="8" t="s">
        <v>4106</v>
      </c>
    </row>
    <row r="91" spans="1:46" ht="20.100000000000001" customHeight="1" x14ac:dyDescent="0.2">
      <c r="A91" t="s">
        <v>1484</v>
      </c>
      <c r="B91" t="s">
        <v>1485</v>
      </c>
      <c r="C91" t="s">
        <v>1486</v>
      </c>
      <c r="D91" t="s">
        <v>124</v>
      </c>
      <c r="E91" t="s">
        <v>1487</v>
      </c>
      <c r="F91" t="s">
        <v>1488</v>
      </c>
      <c r="G91" s="4" t="s">
        <v>1489</v>
      </c>
      <c r="H91" t="s">
        <v>1490</v>
      </c>
      <c r="I91" t="s">
        <v>1491</v>
      </c>
      <c r="J91" t="s">
        <v>1492</v>
      </c>
      <c r="K91" s="4" t="s">
        <v>3663</v>
      </c>
      <c r="L91" t="s">
        <v>1493</v>
      </c>
      <c r="M91" t="s">
        <v>1494</v>
      </c>
      <c r="N91" t="s">
        <v>1495</v>
      </c>
      <c r="O91" t="s">
        <v>1496</v>
      </c>
      <c r="P91">
        <v>5</v>
      </c>
      <c r="Q91" t="s">
        <v>718</v>
      </c>
      <c r="R91">
        <v>2023</v>
      </c>
      <c r="S91">
        <v>12</v>
      </c>
      <c r="T91">
        <v>18</v>
      </c>
      <c r="U91" t="s">
        <v>31</v>
      </c>
      <c r="V91" t="s">
        <v>31</v>
      </c>
      <c r="W91">
        <v>3343</v>
      </c>
      <c r="X91" t="s">
        <v>1497</v>
      </c>
      <c r="Y91" t="str">
        <f>HYPERLINK("http://dx.doi.org/10.3390/foods12183343","http://dx.doi.org/10.3390/foods12183343")</f>
        <v>http://dx.doi.org/10.3390/foods12183343</v>
      </c>
      <c r="Z91" t="s">
        <v>31</v>
      </c>
      <c r="AA91" t="s">
        <v>46</v>
      </c>
      <c r="AB91" t="s">
        <v>46</v>
      </c>
      <c r="AC91" t="s">
        <v>47</v>
      </c>
      <c r="AD91" t="s">
        <v>1498</v>
      </c>
      <c r="AE91" t="str">
        <f>HYPERLINK("https%3A%2F%2Fwww.webofscience.com%2Fwos%2Fwoscc%2Ffull-record%2FWOS:001093128800001","View Full Record in Web of Science")</f>
        <v>View Full Record in Web of Science</v>
      </c>
      <c r="AG91" s="4" t="s">
        <v>3637</v>
      </c>
      <c r="AI91" s="4" t="s">
        <v>3632</v>
      </c>
      <c r="AJ91">
        <v>0</v>
      </c>
      <c r="AK91" s="4" t="s">
        <v>4107</v>
      </c>
      <c r="AL91" s="4" t="s">
        <v>3639</v>
      </c>
      <c r="AM91" s="4" t="s">
        <v>4108</v>
      </c>
      <c r="AN91" s="4" t="s">
        <v>3639</v>
      </c>
      <c r="AO91" s="4" t="s">
        <v>4109</v>
      </c>
      <c r="AP91" s="4" t="s">
        <v>3635</v>
      </c>
      <c r="AQ91" s="4" t="s">
        <v>4110</v>
      </c>
      <c r="AR91" s="4">
        <v>5</v>
      </c>
      <c r="AS91" s="4" t="s">
        <v>3633</v>
      </c>
      <c r="AT91" s="4" t="s">
        <v>4111</v>
      </c>
    </row>
    <row r="92" spans="1:46" ht="20.100000000000001" customHeight="1" x14ac:dyDescent="0.2">
      <c r="A92" t="s">
        <v>1499</v>
      </c>
      <c r="B92" t="s">
        <v>1500</v>
      </c>
      <c r="C92" t="s">
        <v>1501</v>
      </c>
      <c r="D92" t="s">
        <v>367</v>
      </c>
      <c r="E92" t="s">
        <v>1502</v>
      </c>
      <c r="F92" t="s">
        <v>1503</v>
      </c>
      <c r="G92" s="4" t="s">
        <v>1504</v>
      </c>
      <c r="H92" t="s">
        <v>1505</v>
      </c>
      <c r="I92" t="s">
        <v>1506</v>
      </c>
      <c r="J92" t="s">
        <v>1507</v>
      </c>
      <c r="K92" s="4" t="s">
        <v>3691</v>
      </c>
      <c r="L92" t="s">
        <v>1508</v>
      </c>
      <c r="M92" t="s">
        <v>1509</v>
      </c>
      <c r="N92" t="s">
        <v>1510</v>
      </c>
      <c r="O92" t="s">
        <v>1511</v>
      </c>
      <c r="P92">
        <v>0</v>
      </c>
      <c r="Q92" t="s">
        <v>718</v>
      </c>
      <c r="R92">
        <v>2023</v>
      </c>
      <c r="S92">
        <v>13</v>
      </c>
      <c r="T92">
        <v>17</v>
      </c>
      <c r="U92" t="s">
        <v>31</v>
      </c>
      <c r="V92" t="s">
        <v>31</v>
      </c>
      <c r="W92">
        <v>2708</v>
      </c>
      <c r="X92" t="s">
        <v>1512</v>
      </c>
      <c r="Y92" t="str">
        <f>HYPERLINK("http://dx.doi.org/10.3390/ani13172708","http://dx.doi.org/10.3390/ani13172708")</f>
        <v>http://dx.doi.org/10.3390/ani13172708</v>
      </c>
      <c r="Z92" t="s">
        <v>31</v>
      </c>
      <c r="AA92" t="s">
        <v>380</v>
      </c>
      <c r="AB92" t="s">
        <v>381</v>
      </c>
      <c r="AC92" t="s">
        <v>47</v>
      </c>
      <c r="AD92" t="s">
        <v>1513</v>
      </c>
      <c r="AE92" t="str">
        <f>HYPERLINK("https%3A%2F%2Fwww.webofscience.com%2Fwos%2Fwoscc%2Ffull-record%2FWOS:001064051900001","View Full Record in Web of Science")</f>
        <v>View Full Record in Web of Science</v>
      </c>
      <c r="AG92" s="4" t="s">
        <v>3637</v>
      </c>
      <c r="AH92" s="4" t="s">
        <v>3657</v>
      </c>
      <c r="AI92" s="4" t="s">
        <v>3632</v>
      </c>
      <c r="AJ92">
        <v>0</v>
      </c>
      <c r="AK92" s="4" t="s">
        <v>4113</v>
      </c>
      <c r="AL92" s="4" t="s">
        <v>3639</v>
      </c>
      <c r="AM92" s="4" t="s">
        <v>4114</v>
      </c>
      <c r="AN92" s="4" t="s">
        <v>3639</v>
      </c>
      <c r="AO92" s="9" t="s">
        <v>4112</v>
      </c>
      <c r="AP92" s="4" t="s">
        <v>3635</v>
      </c>
      <c r="AQ92" s="4" t="s">
        <v>4115</v>
      </c>
      <c r="AR92" s="4">
        <v>93</v>
      </c>
      <c r="AS92" s="4" t="s">
        <v>3633</v>
      </c>
      <c r="AT92" s="4" t="s">
        <v>4116</v>
      </c>
    </row>
    <row r="93" spans="1:46" ht="20.100000000000001" customHeight="1" x14ac:dyDescent="0.2">
      <c r="A93" t="s">
        <v>1514</v>
      </c>
      <c r="B93" t="s">
        <v>1515</v>
      </c>
      <c r="C93" t="s">
        <v>1516</v>
      </c>
      <c r="D93" t="s">
        <v>107</v>
      </c>
      <c r="E93" t="s">
        <v>1517</v>
      </c>
      <c r="F93" t="s">
        <v>1518</v>
      </c>
      <c r="G93" t="s">
        <v>1519</v>
      </c>
      <c r="H93" t="s">
        <v>1520</v>
      </c>
      <c r="I93" t="s">
        <v>1521</v>
      </c>
      <c r="J93" t="s">
        <v>1522</v>
      </c>
      <c r="K93" s="4" t="s">
        <v>3731</v>
      </c>
      <c r="L93" t="s">
        <v>1523</v>
      </c>
      <c r="M93" t="s">
        <v>31</v>
      </c>
      <c r="N93" t="s">
        <v>31</v>
      </c>
      <c r="O93" t="s">
        <v>31</v>
      </c>
      <c r="P93">
        <v>0</v>
      </c>
      <c r="Q93" t="s">
        <v>718</v>
      </c>
      <c r="R93">
        <v>2023</v>
      </c>
      <c r="S93">
        <v>170</v>
      </c>
      <c r="T93">
        <v>9</v>
      </c>
      <c r="U93" t="s">
        <v>31</v>
      </c>
      <c r="V93" t="s">
        <v>31</v>
      </c>
      <c r="W93">
        <v>109</v>
      </c>
      <c r="X93" t="s">
        <v>1524</v>
      </c>
      <c r="Y93" t="str">
        <f>HYPERLINK("http://dx.doi.org/10.1007/s00227-023-04250-z","http://dx.doi.org/10.1007/s00227-023-04250-z")</f>
        <v>http://dx.doi.org/10.1007/s00227-023-04250-z</v>
      </c>
      <c r="Z93" t="s">
        <v>31</v>
      </c>
      <c r="AA93" t="s">
        <v>119</v>
      </c>
      <c r="AB93" t="s">
        <v>119</v>
      </c>
      <c r="AC93" t="s">
        <v>47</v>
      </c>
      <c r="AD93" t="s">
        <v>1525</v>
      </c>
      <c r="AE93" t="str">
        <f>HYPERLINK("https%3A%2F%2Fwww.webofscience.com%2Fwos%2Fwoscc%2Ffull-record%2FWOS:001032999900002","View Full Record in Web of Science")</f>
        <v>View Full Record in Web of Science</v>
      </c>
      <c r="AG93" s="4" t="s">
        <v>3876</v>
      </c>
      <c r="AH93" s="4" t="s">
        <v>3667</v>
      </c>
      <c r="AI93" s="4" t="s">
        <v>3754</v>
      </c>
      <c r="AJ93">
        <v>2</v>
      </c>
      <c r="AK93" s="4" t="s">
        <v>4117</v>
      </c>
      <c r="AL93" s="4" t="s">
        <v>3650</v>
      </c>
      <c r="AM93" s="4" t="s">
        <v>4118</v>
      </c>
      <c r="AN93" s="4" t="s">
        <v>3650</v>
      </c>
      <c r="AO93" s="4" t="s">
        <v>4119</v>
      </c>
      <c r="AP93" s="4" t="s">
        <v>3721</v>
      </c>
      <c r="AQ93" s="4" t="s">
        <v>4120</v>
      </c>
      <c r="AR93" s="4" t="s">
        <v>4162</v>
      </c>
      <c r="AS93" s="4" t="s">
        <v>3653</v>
      </c>
      <c r="AT93" s="4" t="s">
        <v>4121</v>
      </c>
    </row>
    <row r="94" spans="1:46" ht="20.100000000000001" customHeight="1" x14ac:dyDescent="0.2">
      <c r="A94" t="s">
        <v>1527</v>
      </c>
      <c r="B94" t="s">
        <v>1528</v>
      </c>
      <c r="C94" t="s">
        <v>1529</v>
      </c>
      <c r="D94" t="s">
        <v>1530</v>
      </c>
      <c r="E94" t="s">
        <v>1531</v>
      </c>
      <c r="F94" t="s">
        <v>1532</v>
      </c>
      <c r="G94" s="4" t="s">
        <v>1533</v>
      </c>
      <c r="H94" t="s">
        <v>1534</v>
      </c>
      <c r="I94" t="s">
        <v>1535</v>
      </c>
      <c r="J94" t="s">
        <v>1536</v>
      </c>
      <c r="K94" s="4" t="s">
        <v>4122</v>
      </c>
      <c r="L94" t="s">
        <v>1537</v>
      </c>
      <c r="M94" t="s">
        <v>31</v>
      </c>
      <c r="N94" t="s">
        <v>31</v>
      </c>
      <c r="O94" t="s">
        <v>31</v>
      </c>
      <c r="P94">
        <v>13</v>
      </c>
      <c r="Q94" t="s">
        <v>1538</v>
      </c>
      <c r="R94">
        <v>2023</v>
      </c>
      <c r="S94">
        <v>66</v>
      </c>
      <c r="T94" t="s">
        <v>31</v>
      </c>
      <c r="U94" t="s">
        <v>31</v>
      </c>
      <c r="V94" t="s">
        <v>31</v>
      </c>
      <c r="W94">
        <v>103141</v>
      </c>
      <c r="X94" t="s">
        <v>1539</v>
      </c>
      <c r="Y94" t="str">
        <f>HYPERLINK("http://dx.doi.org/10.1016/j.rsma.2023.103141","http://dx.doi.org/10.1016/j.rsma.2023.103141")</f>
        <v>http://dx.doi.org/10.1016/j.rsma.2023.103141</v>
      </c>
      <c r="Z94" t="s">
        <v>1526</v>
      </c>
      <c r="AA94" t="s">
        <v>287</v>
      </c>
      <c r="AB94" t="s">
        <v>288</v>
      </c>
      <c r="AC94" t="s">
        <v>47</v>
      </c>
      <c r="AD94" t="s">
        <v>1540</v>
      </c>
      <c r="AE94" t="str">
        <f>HYPERLINK("https%3A%2F%2Fwww.webofscience.com%2Fwos%2Fwoscc%2Ffull-record%2FWOS:001069451400001","View Full Record in Web of Science")</f>
        <v>View Full Record in Web of Science</v>
      </c>
      <c r="AG94" s="4" t="s">
        <v>3656</v>
      </c>
      <c r="AH94" s="4" t="s">
        <v>3637</v>
      </c>
      <c r="AI94" s="4" t="s">
        <v>3632</v>
      </c>
      <c r="AJ94">
        <v>0</v>
      </c>
      <c r="AK94" s="4" t="s">
        <v>4123</v>
      </c>
      <c r="AL94" s="4" t="s">
        <v>3735</v>
      </c>
      <c r="AM94" s="4" t="s">
        <v>4124</v>
      </c>
      <c r="AN94" s="4" t="s">
        <v>3639</v>
      </c>
      <c r="AP94" s="4" t="s">
        <v>3635</v>
      </c>
      <c r="AQ94" s="4" t="s">
        <v>4125</v>
      </c>
      <c r="AR94">
        <v>40</v>
      </c>
      <c r="AS94" s="4" t="s">
        <v>3653</v>
      </c>
      <c r="AT94" s="4" t="s">
        <v>4126</v>
      </c>
    </row>
    <row r="95" spans="1:46" ht="20.100000000000001" customHeight="1" x14ac:dyDescent="0.2">
      <c r="A95" t="s">
        <v>1541</v>
      </c>
      <c r="B95" t="s">
        <v>1542</v>
      </c>
      <c r="C95" t="s">
        <v>1543</v>
      </c>
      <c r="D95" t="s">
        <v>1544</v>
      </c>
      <c r="E95" t="s">
        <v>1545</v>
      </c>
      <c r="F95" t="s">
        <v>1546</v>
      </c>
      <c r="G95" s="4" t="s">
        <v>1547</v>
      </c>
      <c r="H95" t="s">
        <v>1548</v>
      </c>
      <c r="I95" t="s">
        <v>971</v>
      </c>
      <c r="J95" t="s">
        <v>1549</v>
      </c>
      <c r="K95" s="4" t="s">
        <v>3692</v>
      </c>
      <c r="L95" t="s">
        <v>1550</v>
      </c>
      <c r="M95" t="s">
        <v>31</v>
      </c>
      <c r="N95" t="s">
        <v>31</v>
      </c>
      <c r="O95" t="s">
        <v>31</v>
      </c>
      <c r="P95">
        <v>14</v>
      </c>
      <c r="Q95" t="s">
        <v>718</v>
      </c>
      <c r="R95">
        <v>2023</v>
      </c>
      <c r="S95">
        <v>60</v>
      </c>
      <c r="T95">
        <v>5</v>
      </c>
      <c r="U95">
        <v>578</v>
      </c>
      <c r="V95">
        <v>598</v>
      </c>
      <c r="W95" t="s">
        <v>31</v>
      </c>
      <c r="X95" t="s">
        <v>1551</v>
      </c>
      <c r="Y95" t="str">
        <f>HYPERLINK("http://dx.doi.org/10.1177/03009858231186306","http://dx.doi.org/10.1177/03009858231186306")</f>
        <v>http://dx.doi.org/10.1177/03009858231186306</v>
      </c>
      <c r="Z95" t="s">
        <v>1552</v>
      </c>
      <c r="AA95" t="s">
        <v>1553</v>
      </c>
      <c r="AB95" t="s">
        <v>1553</v>
      </c>
      <c r="AC95" t="s">
        <v>47</v>
      </c>
      <c r="AD95" t="s">
        <v>1554</v>
      </c>
      <c r="AE95" t="str">
        <f>HYPERLINK("https%3A%2F%2Fwww.webofscience.com%2Fwos%2Fwoscc%2Ffull-record%2FWOS:001027896200001","View Full Record in Web of Science")</f>
        <v>View Full Record in Web of Science</v>
      </c>
      <c r="AG95" s="4" t="s">
        <v>3684</v>
      </c>
      <c r="AH95" s="4" t="s">
        <v>3647</v>
      </c>
      <c r="AI95" s="4" t="s">
        <v>3685</v>
      </c>
      <c r="AJ95">
        <v>0</v>
      </c>
      <c r="AK95" s="4" t="s">
        <v>4127</v>
      </c>
      <c r="AL95" s="4" t="s">
        <v>3650</v>
      </c>
      <c r="AM95" s="4" t="s">
        <v>4128</v>
      </c>
      <c r="AN95" s="4" t="s">
        <v>3639</v>
      </c>
      <c r="AO95" s="4" t="s">
        <v>4129</v>
      </c>
      <c r="AP95" s="4" t="s">
        <v>3670</v>
      </c>
      <c r="AQ95" s="4" t="s">
        <v>4130</v>
      </c>
      <c r="AR95" s="4" t="s">
        <v>4131</v>
      </c>
      <c r="AS95">
        <v>0</v>
      </c>
      <c r="AT95" s="4" t="s">
        <v>4132</v>
      </c>
    </row>
    <row r="96" spans="1:46" ht="20.100000000000001" customHeight="1" x14ac:dyDescent="0.2">
      <c r="A96" t="s">
        <v>1555</v>
      </c>
      <c r="B96" t="s">
        <v>1556</v>
      </c>
      <c r="C96" t="s">
        <v>1557</v>
      </c>
      <c r="D96" t="s">
        <v>1558</v>
      </c>
      <c r="E96" t="s">
        <v>1559</v>
      </c>
      <c r="F96" t="s">
        <v>1560</v>
      </c>
      <c r="G96" t="s">
        <v>1561</v>
      </c>
      <c r="H96" t="s">
        <v>1562</v>
      </c>
      <c r="I96" t="s">
        <v>1563</v>
      </c>
      <c r="J96" t="s">
        <v>1564</v>
      </c>
      <c r="K96" s="4" t="s">
        <v>4133</v>
      </c>
      <c r="L96" t="s">
        <v>1565</v>
      </c>
      <c r="M96" t="s">
        <v>1566</v>
      </c>
      <c r="N96" t="s">
        <v>1567</v>
      </c>
      <c r="O96" t="s">
        <v>1568</v>
      </c>
      <c r="P96">
        <v>9</v>
      </c>
      <c r="Q96" t="s">
        <v>1569</v>
      </c>
      <c r="R96">
        <v>2023</v>
      </c>
      <c r="S96">
        <v>166</v>
      </c>
      <c r="T96" t="s">
        <v>31</v>
      </c>
      <c r="U96" t="s">
        <v>31</v>
      </c>
      <c r="V96" t="s">
        <v>31</v>
      </c>
      <c r="W96">
        <v>107731</v>
      </c>
      <c r="X96" t="s">
        <v>1570</v>
      </c>
      <c r="Y96" t="str">
        <f>HYPERLINK("http://dx.doi.org/10.1016/j.mssp.2023.107731","http://dx.doi.org/10.1016/j.mssp.2023.107731")</f>
        <v>http://dx.doi.org/10.1016/j.mssp.2023.107731</v>
      </c>
      <c r="Z96" t="s">
        <v>1552</v>
      </c>
      <c r="AA96" t="s">
        <v>1571</v>
      </c>
      <c r="AB96" t="s">
        <v>1572</v>
      </c>
      <c r="AC96" t="s">
        <v>47</v>
      </c>
      <c r="AD96" t="s">
        <v>1573</v>
      </c>
      <c r="AE96" t="str">
        <f>HYPERLINK("https%3A%2F%2Fwww.webofscience.com%2Fwos%2Fwoscc%2Ffull-record%2FWOS:001046870800001","View Full Record in Web of Science")</f>
        <v>View Full Record in Web of Science</v>
      </c>
      <c r="AG96" s="4" t="s">
        <v>3798</v>
      </c>
      <c r="AI96" s="4" t="s">
        <v>3632</v>
      </c>
      <c r="AJ96">
        <v>0</v>
      </c>
      <c r="AK96" s="4" t="s">
        <v>4134</v>
      </c>
      <c r="AL96" s="4" t="s">
        <v>3639</v>
      </c>
      <c r="AN96" s="4" t="s">
        <v>3639</v>
      </c>
      <c r="AO96" s="4" t="s">
        <v>4135</v>
      </c>
      <c r="AP96" s="4" t="s">
        <v>3670</v>
      </c>
      <c r="AQ96" s="4" t="s">
        <v>4136</v>
      </c>
      <c r="AR96" s="4">
        <v>0</v>
      </c>
      <c r="AS96">
        <v>0</v>
      </c>
      <c r="AT96" s="4" t="s">
        <v>4137</v>
      </c>
    </row>
    <row r="97" spans="1:46" ht="20.100000000000001" customHeight="1" x14ac:dyDescent="0.2">
      <c r="A97" t="s">
        <v>1574</v>
      </c>
      <c r="B97" t="s">
        <v>1575</v>
      </c>
      <c r="C97" t="s">
        <v>1576</v>
      </c>
      <c r="D97" t="s">
        <v>1577</v>
      </c>
      <c r="E97" t="s">
        <v>1578</v>
      </c>
      <c r="F97" t="s">
        <v>1579</v>
      </c>
      <c r="G97" s="4" t="s">
        <v>1580</v>
      </c>
      <c r="H97" t="s">
        <v>1581</v>
      </c>
      <c r="I97" t="s">
        <v>1582</v>
      </c>
      <c r="J97" t="s">
        <v>1583</v>
      </c>
      <c r="K97" s="4" t="s">
        <v>4139</v>
      </c>
      <c r="L97" t="s">
        <v>1584</v>
      </c>
      <c r="M97" t="s">
        <v>1585</v>
      </c>
      <c r="N97" t="s">
        <v>1586</v>
      </c>
      <c r="O97" t="s">
        <v>1587</v>
      </c>
      <c r="P97">
        <v>15</v>
      </c>
      <c r="Q97" t="s">
        <v>98</v>
      </c>
      <c r="R97">
        <v>2023</v>
      </c>
      <c r="S97">
        <v>12</v>
      </c>
      <c r="T97" t="s">
        <v>31</v>
      </c>
      <c r="U97" t="s">
        <v>31</v>
      </c>
      <c r="V97" t="s">
        <v>31</v>
      </c>
      <c r="W97" t="s">
        <v>1588</v>
      </c>
      <c r="X97" t="s">
        <v>1589</v>
      </c>
      <c r="Y97" t="str">
        <f>HYPERLINK("http://dx.doi.org/10.7554/eLife.84257","http://dx.doi.org/10.7554/eLife.84257")</f>
        <v>http://dx.doi.org/10.7554/eLife.84257</v>
      </c>
      <c r="Z97" t="s">
        <v>31</v>
      </c>
      <c r="AA97" t="s">
        <v>335</v>
      </c>
      <c r="AB97" t="s">
        <v>336</v>
      </c>
      <c r="AC97" t="s">
        <v>47</v>
      </c>
      <c r="AD97" t="s">
        <v>1590</v>
      </c>
      <c r="AE97" t="str">
        <f>HYPERLINK("https%3A%2F%2Fwww.webofscience.com%2Fwos%2Fwoscc%2Ffull-record%2FWOS:001071881400001","View Full Record in Web of Science")</f>
        <v>View Full Record in Web of Science</v>
      </c>
      <c r="AG97" s="4" t="s">
        <v>3647</v>
      </c>
      <c r="AH97" s="4" t="s">
        <v>3876</v>
      </c>
      <c r="AI97" s="4" t="s">
        <v>4078</v>
      </c>
      <c r="AJ97">
        <v>3</v>
      </c>
      <c r="AK97" s="4" t="s">
        <v>4140</v>
      </c>
      <c r="AL97" s="4" t="s">
        <v>3650</v>
      </c>
      <c r="AM97" s="4" t="s">
        <v>4141</v>
      </c>
      <c r="AN97" s="4" t="s">
        <v>3650</v>
      </c>
      <c r="AO97" s="9" t="s">
        <v>4138</v>
      </c>
      <c r="AP97" s="4" t="s">
        <v>3651</v>
      </c>
      <c r="AQ97" s="4" t="s">
        <v>4142</v>
      </c>
      <c r="AR97" s="4">
        <v>1</v>
      </c>
      <c r="AS97" s="4" t="s">
        <v>3653</v>
      </c>
      <c r="AT97" s="4" t="s">
        <v>4143</v>
      </c>
    </row>
    <row r="98" spans="1:46" ht="20.100000000000001" customHeight="1" x14ac:dyDescent="0.2">
      <c r="A98" t="s">
        <v>1593</v>
      </c>
      <c r="B98" t="s">
        <v>1594</v>
      </c>
      <c r="C98" t="s">
        <v>1595</v>
      </c>
      <c r="D98" t="s">
        <v>367</v>
      </c>
      <c r="E98" t="s">
        <v>1596</v>
      </c>
      <c r="F98" t="s">
        <v>1597</v>
      </c>
      <c r="G98" s="4" t="s">
        <v>1598</v>
      </c>
      <c r="H98" t="s">
        <v>1599</v>
      </c>
      <c r="I98" t="s">
        <v>1600</v>
      </c>
      <c r="J98" t="s">
        <v>1601</v>
      </c>
      <c r="K98" s="4" t="s">
        <v>3625</v>
      </c>
      <c r="L98" t="s">
        <v>1602</v>
      </c>
      <c r="M98" t="s">
        <v>1603</v>
      </c>
      <c r="N98" t="s">
        <v>1604</v>
      </c>
      <c r="O98" t="s">
        <v>1605</v>
      </c>
      <c r="P98">
        <v>8</v>
      </c>
      <c r="Q98" t="s">
        <v>151</v>
      </c>
      <c r="R98">
        <v>2023</v>
      </c>
      <c r="S98">
        <v>13</v>
      </c>
      <c r="T98">
        <v>11</v>
      </c>
      <c r="U98" t="s">
        <v>31</v>
      </c>
      <c r="V98" t="s">
        <v>31</v>
      </c>
      <c r="W98">
        <v>1862</v>
      </c>
      <c r="X98" t="s">
        <v>1606</v>
      </c>
      <c r="Y98" t="str">
        <f>HYPERLINK("http://dx.doi.org/10.3390/ani13111862","http://dx.doi.org/10.3390/ani13111862")</f>
        <v>http://dx.doi.org/10.3390/ani13111862</v>
      </c>
      <c r="Z98" t="s">
        <v>31</v>
      </c>
      <c r="AA98" t="s">
        <v>380</v>
      </c>
      <c r="AB98" t="s">
        <v>381</v>
      </c>
      <c r="AC98" t="s">
        <v>47</v>
      </c>
      <c r="AD98" t="s">
        <v>1607</v>
      </c>
      <c r="AE98" t="str">
        <f>HYPERLINK("https%3A%2F%2Fwww.webofscience.com%2Fwos%2Fwoscc%2Ffull-record%2FWOS:001005499200001","View Full Record in Web of Science")</f>
        <v>View Full Record in Web of Science</v>
      </c>
      <c r="AG98" s="4" t="s">
        <v>3694</v>
      </c>
      <c r="AH98" s="4" t="s">
        <v>3684</v>
      </c>
      <c r="AI98" s="4" t="s">
        <v>3685</v>
      </c>
      <c r="AJ98">
        <v>2</v>
      </c>
      <c r="AK98" s="4" t="s">
        <v>4144</v>
      </c>
      <c r="AL98" s="4" t="s">
        <v>3650</v>
      </c>
      <c r="AM98" s="4" t="s">
        <v>4145</v>
      </c>
      <c r="AN98" s="4" t="s">
        <v>3650</v>
      </c>
      <c r="AO98" s="4" t="s">
        <v>4146</v>
      </c>
      <c r="AP98" s="4" t="s">
        <v>3721</v>
      </c>
      <c r="AQ98" s="4" t="s">
        <v>4147</v>
      </c>
      <c r="AR98" s="4">
        <v>12</v>
      </c>
      <c r="AS98" s="4" t="s">
        <v>3653</v>
      </c>
      <c r="AT98" s="4" t="s">
        <v>4148</v>
      </c>
    </row>
    <row r="99" spans="1:46" ht="20.100000000000001" customHeight="1" x14ac:dyDescent="0.2">
      <c r="A99" t="s">
        <v>1608</v>
      </c>
      <c r="B99" t="s">
        <v>1609</v>
      </c>
      <c r="C99" t="s">
        <v>1610</v>
      </c>
      <c r="D99" t="s">
        <v>874</v>
      </c>
      <c r="E99" t="s">
        <v>1611</v>
      </c>
      <c r="F99" t="s">
        <v>1612</v>
      </c>
      <c r="G99" t="s">
        <v>1613</v>
      </c>
      <c r="H99" t="s">
        <v>1614</v>
      </c>
      <c r="I99" t="s">
        <v>1615</v>
      </c>
      <c r="J99" t="s">
        <v>1616</v>
      </c>
      <c r="K99" s="4" t="s">
        <v>3664</v>
      </c>
      <c r="L99" t="s">
        <v>1617</v>
      </c>
      <c r="M99" t="s">
        <v>1618</v>
      </c>
      <c r="N99" t="s">
        <v>1619</v>
      </c>
      <c r="O99" t="s">
        <v>1620</v>
      </c>
      <c r="P99">
        <v>15</v>
      </c>
      <c r="Q99" t="s">
        <v>882</v>
      </c>
      <c r="R99">
        <v>2023</v>
      </c>
      <c r="S99">
        <v>192</v>
      </c>
      <c r="T99" t="s">
        <v>31</v>
      </c>
      <c r="U99" t="s">
        <v>31</v>
      </c>
      <c r="V99" t="s">
        <v>31</v>
      </c>
      <c r="W99">
        <v>115099</v>
      </c>
      <c r="X99" t="s">
        <v>1621</v>
      </c>
      <c r="Y99" t="str">
        <f>HYPERLINK("http://dx.doi.org/10.1016/j.marpolbul.2023.115099","http://dx.doi.org/10.1016/j.marpolbul.2023.115099")</f>
        <v>http://dx.doi.org/10.1016/j.marpolbul.2023.115099</v>
      </c>
      <c r="Z99" t="s">
        <v>1622</v>
      </c>
      <c r="AA99" t="s">
        <v>885</v>
      </c>
      <c r="AB99" t="s">
        <v>288</v>
      </c>
      <c r="AC99" t="s">
        <v>47</v>
      </c>
      <c r="AD99" t="s">
        <v>1623</v>
      </c>
      <c r="AE99" t="str">
        <f>HYPERLINK("https%3A%2F%2Fwww.webofscience.com%2Fwos%2Fwoscc%2Ffull-record%2FWOS:001011642400001","View Full Record in Web of Science")</f>
        <v>View Full Record in Web of Science</v>
      </c>
      <c r="AG99" s="4" t="s">
        <v>3656</v>
      </c>
      <c r="AH99" s="4" t="s">
        <v>3637</v>
      </c>
      <c r="AI99" s="4" t="s">
        <v>3632</v>
      </c>
      <c r="AJ99">
        <v>0</v>
      </c>
      <c r="AK99" s="4" t="s">
        <v>4149</v>
      </c>
      <c r="AL99" s="4" t="s">
        <v>3639</v>
      </c>
      <c r="AM99" s="4" t="s">
        <v>4150</v>
      </c>
      <c r="AN99" s="4" t="s">
        <v>3639</v>
      </c>
      <c r="AO99" s="4" t="s">
        <v>4151</v>
      </c>
      <c r="AP99" s="4" t="s">
        <v>3670</v>
      </c>
      <c r="AQ99" s="4" t="s">
        <v>4152</v>
      </c>
      <c r="AR99" s="4">
        <v>0</v>
      </c>
      <c r="AS99">
        <v>0</v>
      </c>
      <c r="AT99" s="4" t="s">
        <v>4153</v>
      </c>
    </row>
    <row r="100" spans="1:46" ht="20.100000000000001" customHeight="1" x14ac:dyDescent="0.2">
      <c r="A100" t="s">
        <v>1624</v>
      </c>
      <c r="B100" t="s">
        <v>1625</v>
      </c>
      <c r="C100" t="s">
        <v>1626</v>
      </c>
      <c r="D100" t="s">
        <v>223</v>
      </c>
      <c r="E100" t="s">
        <v>31</v>
      </c>
      <c r="F100" t="s">
        <v>1627</v>
      </c>
      <c r="G100" t="s">
        <v>1628</v>
      </c>
      <c r="H100" t="s">
        <v>1629</v>
      </c>
      <c r="I100" t="s">
        <v>1630</v>
      </c>
      <c r="J100" t="s">
        <v>1631</v>
      </c>
      <c r="K100" s="4" t="s">
        <v>4158</v>
      </c>
      <c r="L100" t="s">
        <v>1632</v>
      </c>
      <c r="M100" t="s">
        <v>1633</v>
      </c>
      <c r="N100" t="s">
        <v>1634</v>
      </c>
      <c r="O100" t="s">
        <v>1635</v>
      </c>
      <c r="P100">
        <v>9</v>
      </c>
      <c r="Q100" t="s">
        <v>1636</v>
      </c>
      <c r="R100">
        <v>2023</v>
      </c>
      <c r="S100">
        <v>13</v>
      </c>
      <c r="T100">
        <v>1</v>
      </c>
      <c r="U100" t="s">
        <v>31</v>
      </c>
      <c r="V100" t="s">
        <v>31</v>
      </c>
      <c r="W100">
        <v>8744</v>
      </c>
      <c r="X100" t="s">
        <v>1637</v>
      </c>
      <c r="Y100" t="str">
        <f>HYPERLINK("http://dx.doi.org/10.1038/s41598-023-35206-4","http://dx.doi.org/10.1038/s41598-023-35206-4")</f>
        <v>http://dx.doi.org/10.1038/s41598-023-35206-4</v>
      </c>
      <c r="Z100" t="s">
        <v>31</v>
      </c>
      <c r="AA100" t="s">
        <v>101</v>
      </c>
      <c r="AB100" t="s">
        <v>102</v>
      </c>
      <c r="AC100" t="s">
        <v>47</v>
      </c>
      <c r="AD100" t="s">
        <v>1638</v>
      </c>
      <c r="AE100" t="str">
        <f>HYPERLINK("https%3A%2F%2Fwww.webofscience.com%2Fwos%2Fwoscc%2Ffull-record%2FWOS:001000101800044","View Full Record in Web of Science")</f>
        <v>View Full Record in Web of Science</v>
      </c>
      <c r="AG100" s="4" t="s">
        <v>3667</v>
      </c>
      <c r="AH100" s="4" t="s">
        <v>3876</v>
      </c>
      <c r="AI100" s="4" t="s">
        <v>3719</v>
      </c>
      <c r="AJ100">
        <v>2</v>
      </c>
      <c r="AK100" s="4" t="s">
        <v>4154</v>
      </c>
      <c r="AL100" s="4" t="s">
        <v>3650</v>
      </c>
      <c r="AM100" s="4" t="s">
        <v>4155</v>
      </c>
      <c r="AN100" s="4" t="s">
        <v>3639</v>
      </c>
      <c r="AP100" s="4" t="s">
        <v>3651</v>
      </c>
      <c r="AQ100" s="4" t="s">
        <v>4156</v>
      </c>
      <c r="AR100" s="4">
        <v>139</v>
      </c>
      <c r="AS100" s="4" t="s">
        <v>3653</v>
      </c>
      <c r="AT100" s="4" t="s">
        <v>4157</v>
      </c>
    </row>
    <row r="101" spans="1:46" ht="20.100000000000001" customHeight="1" x14ac:dyDescent="0.2">
      <c r="A101" t="s">
        <v>1639</v>
      </c>
      <c r="B101" t="s">
        <v>1640</v>
      </c>
      <c r="C101" t="s">
        <v>1641</v>
      </c>
      <c r="D101" t="s">
        <v>1642</v>
      </c>
      <c r="E101" t="s">
        <v>1643</v>
      </c>
      <c r="F101" t="s">
        <v>1644</v>
      </c>
      <c r="G101" s="4" t="s">
        <v>1645</v>
      </c>
      <c r="H101" t="s">
        <v>1646</v>
      </c>
      <c r="I101" t="s">
        <v>1647</v>
      </c>
      <c r="J101" t="s">
        <v>1648</v>
      </c>
      <c r="K101" s="4" t="s">
        <v>4168</v>
      </c>
      <c r="L101" t="s">
        <v>1649</v>
      </c>
      <c r="M101" t="s">
        <v>1650</v>
      </c>
      <c r="N101" t="s">
        <v>1651</v>
      </c>
      <c r="O101" t="s">
        <v>1652</v>
      </c>
      <c r="P101">
        <v>5</v>
      </c>
      <c r="Q101" t="s">
        <v>882</v>
      </c>
      <c r="R101">
        <v>2023</v>
      </c>
      <c r="S101">
        <v>177</v>
      </c>
      <c r="T101" t="s">
        <v>31</v>
      </c>
      <c r="U101" t="s">
        <v>31</v>
      </c>
      <c r="V101" t="s">
        <v>31</v>
      </c>
      <c r="W101">
        <v>113829</v>
      </c>
      <c r="X101" t="s">
        <v>1653</v>
      </c>
      <c r="Y101" t="str">
        <f>HYPERLINK("http://dx.doi.org/10.1016/j.fct.2023.113829","http://dx.doi.org/10.1016/j.fct.2023.113829")</f>
        <v>http://dx.doi.org/10.1016/j.fct.2023.113829</v>
      </c>
      <c r="Z101" t="s">
        <v>1622</v>
      </c>
      <c r="AA101" t="s">
        <v>1654</v>
      </c>
      <c r="AB101" t="s">
        <v>1654</v>
      </c>
      <c r="AC101" t="s">
        <v>47</v>
      </c>
      <c r="AD101" t="s">
        <v>1655</v>
      </c>
      <c r="AE101" t="str">
        <f>HYPERLINK("https%3A%2F%2Fwww.webofscience.com%2Fwos%2Fwoscc%2Ffull-record%2FWOS:001010406300001","View Full Record in Web of Science")</f>
        <v>View Full Record in Web of Science</v>
      </c>
      <c r="AG101" s="4" t="s">
        <v>3798</v>
      </c>
      <c r="AI101" s="4" t="s">
        <v>3632</v>
      </c>
      <c r="AJ101">
        <v>0</v>
      </c>
      <c r="AK101" s="4" t="s">
        <v>4163</v>
      </c>
      <c r="AL101" s="4" t="s">
        <v>3639</v>
      </c>
      <c r="AN101" s="4" t="s">
        <v>3639</v>
      </c>
      <c r="AO101" s="4" t="s">
        <v>4164</v>
      </c>
      <c r="AP101" s="4" t="s">
        <v>3670</v>
      </c>
      <c r="AQ101" s="4" t="s">
        <v>4165</v>
      </c>
      <c r="AR101" s="4">
        <v>0</v>
      </c>
      <c r="AS101">
        <v>0</v>
      </c>
      <c r="AT101" s="4" t="s">
        <v>4166</v>
      </c>
    </row>
    <row r="102" spans="1:46" ht="20.100000000000001" customHeight="1" x14ac:dyDescent="0.2">
      <c r="A102" t="s">
        <v>1656</v>
      </c>
      <c r="B102" t="s">
        <v>1657</v>
      </c>
      <c r="C102" t="s">
        <v>1658</v>
      </c>
      <c r="D102" t="s">
        <v>1659</v>
      </c>
      <c r="E102" t="s">
        <v>1660</v>
      </c>
      <c r="F102" t="s">
        <v>1661</v>
      </c>
      <c r="G102" t="s">
        <v>1662</v>
      </c>
      <c r="H102" t="s">
        <v>1663</v>
      </c>
      <c r="I102" t="s">
        <v>1664</v>
      </c>
      <c r="J102" t="s">
        <v>1665</v>
      </c>
      <c r="K102" s="4" t="s">
        <v>3625</v>
      </c>
      <c r="L102" t="s">
        <v>1666</v>
      </c>
      <c r="M102" t="s">
        <v>1667</v>
      </c>
      <c r="N102" t="s">
        <v>1668</v>
      </c>
      <c r="O102" t="s">
        <v>1669</v>
      </c>
      <c r="P102">
        <v>3</v>
      </c>
      <c r="Q102" t="s">
        <v>1670</v>
      </c>
      <c r="R102">
        <v>2023</v>
      </c>
      <c r="S102">
        <v>16</v>
      </c>
      <c r="T102" t="s">
        <v>31</v>
      </c>
      <c r="U102" t="s">
        <v>31</v>
      </c>
      <c r="V102" t="s">
        <v>31</v>
      </c>
      <c r="W102">
        <v>1091305</v>
      </c>
      <c r="X102" t="s">
        <v>1671</v>
      </c>
      <c r="Y102" t="str">
        <f>HYPERLINK("http://dx.doi.org/10.3389/fnmol.2023.1091305","http://dx.doi.org/10.3389/fnmol.2023.1091305")</f>
        <v>http://dx.doi.org/10.3389/fnmol.2023.1091305</v>
      </c>
      <c r="Z102" t="s">
        <v>31</v>
      </c>
      <c r="AA102" t="s">
        <v>1672</v>
      </c>
      <c r="AB102" t="s">
        <v>1673</v>
      </c>
      <c r="AC102" t="s">
        <v>47</v>
      </c>
      <c r="AD102" t="s">
        <v>1674</v>
      </c>
      <c r="AE102" t="str">
        <f>HYPERLINK("https%3A%2F%2Fwww.webofscience.com%2Fwos%2Fwoscc%2Ffull-record%2FWOS:000997715300001","View Full Record in Web of Science")</f>
        <v>View Full Record in Web of Science</v>
      </c>
      <c r="AG102" s="4" t="s">
        <v>3657</v>
      </c>
      <c r="AH102" s="4" t="s">
        <v>3647</v>
      </c>
      <c r="AI102" s="4" t="s">
        <v>3632</v>
      </c>
      <c r="AJ102">
        <v>1</v>
      </c>
      <c r="AK102" s="4" t="s">
        <v>4169</v>
      </c>
      <c r="AL102" s="4" t="s">
        <v>3650</v>
      </c>
      <c r="AM102" s="4" t="s">
        <v>4170</v>
      </c>
      <c r="AN102" s="4" t="s">
        <v>3650</v>
      </c>
      <c r="AO102" s="9" t="s">
        <v>4167</v>
      </c>
      <c r="AP102" s="4" t="s">
        <v>3651</v>
      </c>
      <c r="AQ102" s="4" t="s">
        <v>4171</v>
      </c>
      <c r="AR102" s="4">
        <v>5</v>
      </c>
      <c r="AS102" s="4" t="s">
        <v>3653</v>
      </c>
      <c r="AT102" s="4" t="s">
        <v>4172</v>
      </c>
    </row>
    <row r="103" spans="1:46" ht="20.100000000000001" customHeight="1" x14ac:dyDescent="0.2">
      <c r="A103" t="s">
        <v>1675</v>
      </c>
      <c r="B103" t="s">
        <v>1676</v>
      </c>
      <c r="C103" t="s">
        <v>1677</v>
      </c>
      <c r="D103" t="s">
        <v>1678</v>
      </c>
      <c r="E103" t="s">
        <v>1679</v>
      </c>
      <c r="F103" t="s">
        <v>1680</v>
      </c>
      <c r="G103" t="s">
        <v>1681</v>
      </c>
      <c r="H103" t="s">
        <v>1682</v>
      </c>
      <c r="I103" t="s">
        <v>1683</v>
      </c>
      <c r="J103" t="s">
        <v>1684</v>
      </c>
      <c r="K103" s="4" t="s">
        <v>3704</v>
      </c>
      <c r="L103" t="s">
        <v>1685</v>
      </c>
      <c r="M103" t="s">
        <v>31</v>
      </c>
      <c r="N103" t="s">
        <v>31</v>
      </c>
      <c r="O103" t="s">
        <v>31</v>
      </c>
      <c r="P103">
        <v>0</v>
      </c>
      <c r="Q103" t="s">
        <v>1686</v>
      </c>
      <c r="R103">
        <v>2023</v>
      </c>
      <c r="S103">
        <v>36</v>
      </c>
      <c r="T103" t="s">
        <v>31</v>
      </c>
      <c r="U103" t="s">
        <v>31</v>
      </c>
      <c r="V103" t="s">
        <v>31</v>
      </c>
      <c r="W103">
        <v>15</v>
      </c>
      <c r="X103" t="s">
        <v>1687</v>
      </c>
      <c r="Y103" t="str">
        <f>HYPERLINK("http://dx.doi.org/10.1051/alr/2023008","http://dx.doi.org/10.1051/alr/2023008")</f>
        <v>http://dx.doi.org/10.1051/alr/2023008</v>
      </c>
      <c r="Z103" t="s">
        <v>31</v>
      </c>
      <c r="AA103" t="s">
        <v>537</v>
      </c>
      <c r="AB103" t="s">
        <v>537</v>
      </c>
      <c r="AC103" t="s">
        <v>47</v>
      </c>
      <c r="AD103" t="s">
        <v>1688</v>
      </c>
      <c r="AE103" t="str">
        <f>HYPERLINK("https%3A%2F%2Fwww.webofscience.com%2Fwos%2Fwoscc%2Ffull-record%2FWOS:000988587800002","View Full Record in Web of Science")</f>
        <v>View Full Record in Web of Science</v>
      </c>
    </row>
    <row r="104" spans="1:46" ht="20.100000000000001" customHeight="1" x14ac:dyDescent="0.2">
      <c r="A104" t="s">
        <v>1689</v>
      </c>
      <c r="B104" t="s">
        <v>1690</v>
      </c>
      <c r="C104" t="s">
        <v>1691</v>
      </c>
      <c r="D104" t="s">
        <v>707</v>
      </c>
      <c r="E104" t="s">
        <v>1692</v>
      </c>
      <c r="F104" t="s">
        <v>1693</v>
      </c>
      <c r="G104" t="s">
        <v>1694</v>
      </c>
      <c r="H104" t="s">
        <v>1695</v>
      </c>
      <c r="I104" t="s">
        <v>1696</v>
      </c>
      <c r="J104" t="s">
        <v>1697</v>
      </c>
      <c r="K104" s="4" t="s">
        <v>4174</v>
      </c>
      <c r="L104" t="s">
        <v>1698</v>
      </c>
      <c r="M104" t="s">
        <v>31</v>
      </c>
      <c r="N104" t="s">
        <v>31</v>
      </c>
      <c r="O104" t="s">
        <v>31</v>
      </c>
      <c r="P104">
        <v>4</v>
      </c>
      <c r="Q104" t="s">
        <v>882</v>
      </c>
      <c r="R104">
        <v>2023</v>
      </c>
      <c r="S104">
        <v>153</v>
      </c>
      <c r="T104" t="s">
        <v>31</v>
      </c>
      <c r="U104" t="s">
        <v>31</v>
      </c>
      <c r="V104" t="s">
        <v>31</v>
      </c>
      <c r="W104">
        <v>105632</v>
      </c>
      <c r="X104" t="s">
        <v>1699</v>
      </c>
      <c r="Y104" t="str">
        <f>HYPERLINK("http://dx.doi.org/10.1016/j.marpol.2023.105632","http://dx.doi.org/10.1016/j.marpol.2023.105632")</f>
        <v>http://dx.doi.org/10.1016/j.marpol.2023.105632</v>
      </c>
      <c r="Z104" t="s">
        <v>1622</v>
      </c>
      <c r="AA104" t="s">
        <v>720</v>
      </c>
      <c r="AB104" t="s">
        <v>721</v>
      </c>
      <c r="AC104" t="s">
        <v>47</v>
      </c>
      <c r="AD104" t="s">
        <v>1700</v>
      </c>
      <c r="AE104" t="str">
        <f>HYPERLINK("https%3A%2F%2Fwww.webofscience.com%2Fwos%2Fwoscc%2Ffull-record%2FWOS:001004734800001","View Full Record in Web of Science")</f>
        <v>View Full Record in Web of Science</v>
      </c>
    </row>
    <row r="105" spans="1:46" ht="20.100000000000001" customHeight="1" x14ac:dyDescent="0.2">
      <c r="A105" t="s">
        <v>1701</v>
      </c>
      <c r="B105" t="s">
        <v>1702</v>
      </c>
      <c r="C105" t="s">
        <v>1703</v>
      </c>
      <c r="D105" t="s">
        <v>107</v>
      </c>
      <c r="E105" t="s">
        <v>1704</v>
      </c>
      <c r="F105" t="s">
        <v>1705</v>
      </c>
      <c r="G105" t="s">
        <v>1706</v>
      </c>
      <c r="H105" t="s">
        <v>1707</v>
      </c>
      <c r="I105" t="s">
        <v>230</v>
      </c>
      <c r="J105" t="s">
        <v>1708</v>
      </c>
      <c r="K105" s="4" t="s">
        <v>3691</v>
      </c>
      <c r="L105" t="s">
        <v>1632</v>
      </c>
      <c r="M105" t="s">
        <v>31</v>
      </c>
      <c r="N105" t="s">
        <v>31</v>
      </c>
      <c r="O105" t="s">
        <v>31</v>
      </c>
      <c r="P105">
        <v>10</v>
      </c>
      <c r="Q105" t="s">
        <v>216</v>
      </c>
      <c r="R105">
        <v>2023</v>
      </c>
      <c r="S105">
        <v>170</v>
      </c>
      <c r="T105">
        <v>5</v>
      </c>
      <c r="U105" t="s">
        <v>31</v>
      </c>
      <c r="V105" t="s">
        <v>31</v>
      </c>
      <c r="W105">
        <v>53</v>
      </c>
      <c r="X105" t="s">
        <v>1709</v>
      </c>
      <c r="Y105" t="str">
        <f>HYPERLINK("http://dx.doi.org/10.1007/s00227-023-04188-2","http://dx.doi.org/10.1007/s00227-023-04188-2")</f>
        <v>http://dx.doi.org/10.1007/s00227-023-04188-2</v>
      </c>
      <c r="Z105" t="s">
        <v>31</v>
      </c>
      <c r="AA105" t="s">
        <v>119</v>
      </c>
      <c r="AB105" t="s">
        <v>119</v>
      </c>
      <c r="AC105" t="s">
        <v>47</v>
      </c>
      <c r="AD105" t="s">
        <v>1710</v>
      </c>
      <c r="AE105" t="str">
        <f>HYPERLINK("https%3A%2F%2Fwww.webofscience.com%2Fwos%2Fwoscc%2Ffull-record%2FWOS:000960414100005","View Full Record in Web of Science")</f>
        <v>View Full Record in Web of Science</v>
      </c>
    </row>
    <row r="106" spans="1:46" ht="20.100000000000001" customHeight="1" x14ac:dyDescent="0.2">
      <c r="A106" t="s">
        <v>1711</v>
      </c>
      <c r="B106" t="s">
        <v>1712</v>
      </c>
      <c r="C106" t="s">
        <v>1713</v>
      </c>
      <c r="D106" t="s">
        <v>951</v>
      </c>
      <c r="E106" t="s">
        <v>1714</v>
      </c>
      <c r="F106" t="s">
        <v>1715</v>
      </c>
      <c r="G106" t="s">
        <v>1716</v>
      </c>
      <c r="H106" t="s">
        <v>1717</v>
      </c>
      <c r="I106" t="s">
        <v>1718</v>
      </c>
      <c r="J106" t="s">
        <v>1522</v>
      </c>
      <c r="K106" s="4" t="s">
        <v>3731</v>
      </c>
      <c r="L106" t="s">
        <v>1523</v>
      </c>
      <c r="M106" t="s">
        <v>1719</v>
      </c>
      <c r="N106" t="s">
        <v>1720</v>
      </c>
      <c r="O106" t="s">
        <v>1721</v>
      </c>
      <c r="P106">
        <v>10</v>
      </c>
      <c r="Q106" t="s">
        <v>1722</v>
      </c>
      <c r="R106">
        <v>2023</v>
      </c>
      <c r="S106">
        <v>573</v>
      </c>
      <c r="T106" t="s">
        <v>31</v>
      </c>
      <c r="U106" t="s">
        <v>31</v>
      </c>
      <c r="V106" t="s">
        <v>31</v>
      </c>
      <c r="W106">
        <v>739617</v>
      </c>
      <c r="X106" t="s">
        <v>1723</v>
      </c>
      <c r="Y106" t="str">
        <f>HYPERLINK("http://dx.doi.org/10.1016/j.aquaculture.2023.739617","http://dx.doi.org/10.1016/j.aquaculture.2023.739617")</f>
        <v>http://dx.doi.org/10.1016/j.aquaculture.2023.739617</v>
      </c>
      <c r="Z106" t="s">
        <v>1724</v>
      </c>
      <c r="AA106" t="s">
        <v>537</v>
      </c>
      <c r="AB106" t="s">
        <v>537</v>
      </c>
      <c r="AC106" t="s">
        <v>47</v>
      </c>
      <c r="AD106" t="s">
        <v>1725</v>
      </c>
      <c r="AE106" t="str">
        <f>HYPERLINK("https%3A%2F%2Fwww.webofscience.com%2Fwos%2Fwoscc%2Ffull-record%2FWOS:000991294000001","View Full Record in Web of Science")</f>
        <v>View Full Record in Web of Science</v>
      </c>
    </row>
    <row r="107" spans="1:46" ht="20.100000000000001" customHeight="1" x14ac:dyDescent="0.2">
      <c r="A107" t="s">
        <v>1726</v>
      </c>
      <c r="B107" t="s">
        <v>1727</v>
      </c>
      <c r="C107" t="s">
        <v>1728</v>
      </c>
      <c r="D107" t="s">
        <v>760</v>
      </c>
      <c r="E107" t="s">
        <v>1729</v>
      </c>
      <c r="F107" t="s">
        <v>1730</v>
      </c>
      <c r="G107" t="s">
        <v>1731</v>
      </c>
      <c r="H107" t="s">
        <v>1732</v>
      </c>
      <c r="I107" t="s">
        <v>426</v>
      </c>
      <c r="J107" t="s">
        <v>1733</v>
      </c>
      <c r="K107" s="4" t="s">
        <v>3729</v>
      </c>
      <c r="L107" t="s">
        <v>1734</v>
      </c>
      <c r="M107" t="s">
        <v>31</v>
      </c>
      <c r="N107" t="s">
        <v>31</v>
      </c>
      <c r="O107" t="s">
        <v>31</v>
      </c>
      <c r="P107">
        <v>3</v>
      </c>
      <c r="Q107" t="s">
        <v>1735</v>
      </c>
      <c r="R107">
        <v>2023</v>
      </c>
      <c r="S107">
        <v>103</v>
      </c>
      <c r="T107" t="s">
        <v>31</v>
      </c>
      <c r="U107" t="s">
        <v>31</v>
      </c>
      <c r="V107" t="s">
        <v>31</v>
      </c>
      <c r="W107" t="s">
        <v>1736</v>
      </c>
      <c r="X107" t="s">
        <v>1737</v>
      </c>
      <c r="Y107" t="str">
        <f>HYPERLINK("http://dx.doi.org/10.1017/S0025315423000218","http://dx.doi.org/10.1017/S0025315423000218")</f>
        <v>http://dx.doi.org/10.1017/S0025315423000218</v>
      </c>
      <c r="Z107" t="s">
        <v>31</v>
      </c>
      <c r="AA107" t="s">
        <v>119</v>
      </c>
      <c r="AB107" t="s">
        <v>119</v>
      </c>
      <c r="AC107" t="s">
        <v>47</v>
      </c>
      <c r="AD107" t="s">
        <v>1738</v>
      </c>
      <c r="AE107" t="str">
        <f>HYPERLINK("https%3A%2F%2Fwww.webofscience.com%2Fwos%2Fwoscc%2Ffull-record%2FWOS:000977251600001","View Full Record in Web of Science")</f>
        <v>View Full Record in Web of Science</v>
      </c>
    </row>
    <row r="108" spans="1:46" ht="20.100000000000001" customHeight="1" x14ac:dyDescent="0.2">
      <c r="A108" t="s">
        <v>1739</v>
      </c>
      <c r="B108" t="s">
        <v>1740</v>
      </c>
      <c r="C108" t="s">
        <v>1741</v>
      </c>
      <c r="D108" t="s">
        <v>1136</v>
      </c>
      <c r="E108" t="s">
        <v>1742</v>
      </c>
      <c r="F108" t="s">
        <v>1743</v>
      </c>
      <c r="G108" t="s">
        <v>1744</v>
      </c>
      <c r="H108" t="s">
        <v>1745</v>
      </c>
      <c r="I108" t="s">
        <v>956</v>
      </c>
      <c r="J108" t="s">
        <v>1141</v>
      </c>
      <c r="L108" t="s">
        <v>1746</v>
      </c>
      <c r="M108" t="s">
        <v>1747</v>
      </c>
      <c r="N108" t="s">
        <v>1748</v>
      </c>
      <c r="O108" t="s">
        <v>1749</v>
      </c>
      <c r="P108">
        <v>16</v>
      </c>
      <c r="Q108" t="s">
        <v>1750</v>
      </c>
      <c r="R108">
        <v>2023</v>
      </c>
      <c r="S108">
        <v>24</v>
      </c>
      <c r="T108">
        <v>8</v>
      </c>
      <c r="U108" t="s">
        <v>31</v>
      </c>
      <c r="V108" t="s">
        <v>31</v>
      </c>
      <c r="W108">
        <v>7145</v>
      </c>
      <c r="X108" t="s">
        <v>1751</v>
      </c>
      <c r="Y108" t="str">
        <f>HYPERLINK("http://dx.doi.org/10.3390/ijms24087145","http://dx.doi.org/10.3390/ijms24087145")</f>
        <v>http://dx.doi.org/10.3390/ijms24087145</v>
      </c>
      <c r="Z108" t="s">
        <v>31</v>
      </c>
      <c r="AA108" t="s">
        <v>503</v>
      </c>
      <c r="AB108" t="s">
        <v>504</v>
      </c>
      <c r="AC108" t="s">
        <v>47</v>
      </c>
      <c r="AD108" t="s">
        <v>1752</v>
      </c>
      <c r="AE108" t="str">
        <f>HYPERLINK("https%3A%2F%2Fwww.webofscience.com%2Fwos%2Fwoscc%2Ffull-record%2FWOS:000979377000001","View Full Record in Web of Science")</f>
        <v>View Full Record in Web of Science</v>
      </c>
    </row>
    <row r="109" spans="1:46" ht="20.100000000000001" customHeight="1" x14ac:dyDescent="0.2">
      <c r="A109" t="s">
        <v>1753</v>
      </c>
      <c r="B109" t="s">
        <v>1754</v>
      </c>
      <c r="C109" t="s">
        <v>1755</v>
      </c>
      <c r="D109" t="s">
        <v>743</v>
      </c>
      <c r="E109" t="s">
        <v>1756</v>
      </c>
      <c r="F109" t="s">
        <v>1757</v>
      </c>
      <c r="G109" t="s">
        <v>1758</v>
      </c>
      <c r="H109" t="s">
        <v>1759</v>
      </c>
      <c r="I109" t="s">
        <v>956</v>
      </c>
      <c r="J109" t="s">
        <v>1760</v>
      </c>
      <c r="L109" t="s">
        <v>1761</v>
      </c>
      <c r="M109" t="s">
        <v>1762</v>
      </c>
      <c r="N109" t="s">
        <v>1763</v>
      </c>
      <c r="O109" t="s">
        <v>1764</v>
      </c>
      <c r="P109">
        <v>9</v>
      </c>
      <c r="Q109" t="s">
        <v>1750</v>
      </c>
      <c r="R109">
        <v>2023</v>
      </c>
      <c r="S109">
        <v>21</v>
      </c>
      <c r="T109">
        <v>4</v>
      </c>
      <c r="U109" t="s">
        <v>31</v>
      </c>
      <c r="V109" t="s">
        <v>31</v>
      </c>
      <c r="W109">
        <v>206</v>
      </c>
      <c r="X109" t="s">
        <v>1765</v>
      </c>
      <c r="Y109" t="str">
        <f>HYPERLINK("http://dx.doi.org/10.3390/md21040206","http://dx.doi.org/10.3390/md21040206")</f>
        <v>http://dx.doi.org/10.3390/md21040206</v>
      </c>
      <c r="Z109" t="s">
        <v>31</v>
      </c>
      <c r="AA109" t="s">
        <v>754</v>
      </c>
      <c r="AB109" t="s">
        <v>755</v>
      </c>
      <c r="AC109" t="s">
        <v>47</v>
      </c>
      <c r="AD109" t="s">
        <v>1766</v>
      </c>
      <c r="AE109" t="str">
        <f>HYPERLINK("https%3A%2F%2Fwww.webofscience.com%2Fwos%2Fwoscc%2Ffull-record%2FWOS:000978666600001","View Full Record in Web of Science")</f>
        <v>View Full Record in Web of Science</v>
      </c>
    </row>
    <row r="110" spans="1:46" ht="20.100000000000001" customHeight="1" x14ac:dyDescent="0.2">
      <c r="A110" t="s">
        <v>1767</v>
      </c>
      <c r="B110" t="s">
        <v>1768</v>
      </c>
      <c r="C110" t="s">
        <v>1769</v>
      </c>
      <c r="D110" t="s">
        <v>124</v>
      </c>
      <c r="E110" t="s">
        <v>1770</v>
      </c>
      <c r="F110" t="s">
        <v>1771</v>
      </c>
      <c r="G110" t="s">
        <v>1772</v>
      </c>
      <c r="H110" t="s">
        <v>1773</v>
      </c>
      <c r="I110" t="s">
        <v>1774</v>
      </c>
      <c r="J110" t="s">
        <v>1775</v>
      </c>
      <c r="L110" t="s">
        <v>1776</v>
      </c>
      <c r="M110" t="s">
        <v>1777</v>
      </c>
      <c r="N110" t="s">
        <v>1778</v>
      </c>
      <c r="O110" t="s">
        <v>1779</v>
      </c>
      <c r="P110">
        <v>5</v>
      </c>
      <c r="Q110" t="s">
        <v>1750</v>
      </c>
      <c r="R110">
        <v>2023</v>
      </c>
      <c r="S110">
        <v>12</v>
      </c>
      <c r="T110">
        <v>7</v>
      </c>
      <c r="U110" t="s">
        <v>31</v>
      </c>
      <c r="V110" t="s">
        <v>31</v>
      </c>
      <c r="W110">
        <v>1461</v>
      </c>
      <c r="X110" t="s">
        <v>1780</v>
      </c>
      <c r="Y110" t="str">
        <f>HYPERLINK("http://dx.doi.org/10.3390/foods12071461","http://dx.doi.org/10.3390/foods12071461")</f>
        <v>http://dx.doi.org/10.3390/foods12071461</v>
      </c>
      <c r="Z110" t="s">
        <v>31</v>
      </c>
      <c r="AA110" t="s">
        <v>46</v>
      </c>
      <c r="AB110" t="s">
        <v>46</v>
      </c>
      <c r="AC110" t="s">
        <v>47</v>
      </c>
      <c r="AD110" t="s">
        <v>1781</v>
      </c>
      <c r="AE110" t="str">
        <f>HYPERLINK("https%3A%2F%2Fwww.webofscience.com%2Fwos%2Fwoscc%2Ffull-record%2FWOS:000969548100001","View Full Record in Web of Science")</f>
        <v>View Full Record in Web of Science</v>
      </c>
    </row>
    <row r="111" spans="1:46" ht="20.100000000000001" customHeight="1" x14ac:dyDescent="0.2">
      <c r="A111" t="s">
        <v>1782</v>
      </c>
      <c r="B111" t="s">
        <v>1783</v>
      </c>
      <c r="C111" t="s">
        <v>1784</v>
      </c>
      <c r="D111" t="s">
        <v>1071</v>
      </c>
      <c r="E111" t="s">
        <v>1785</v>
      </c>
      <c r="F111" t="s">
        <v>1786</v>
      </c>
      <c r="G111" t="s">
        <v>1787</v>
      </c>
      <c r="H111" t="s">
        <v>1788</v>
      </c>
      <c r="I111" t="s">
        <v>1789</v>
      </c>
      <c r="J111" t="s">
        <v>1790</v>
      </c>
      <c r="L111" t="s">
        <v>1791</v>
      </c>
      <c r="M111" t="s">
        <v>1792</v>
      </c>
      <c r="N111" t="s">
        <v>1793</v>
      </c>
      <c r="O111" t="s">
        <v>1794</v>
      </c>
      <c r="P111">
        <v>16</v>
      </c>
      <c r="Q111" t="s">
        <v>718</v>
      </c>
      <c r="R111">
        <v>2023</v>
      </c>
      <c r="S111">
        <v>33</v>
      </c>
      <c r="T111">
        <v>3</v>
      </c>
      <c r="U111">
        <v>669</v>
      </c>
      <c r="V111">
        <v>698</v>
      </c>
      <c r="W111" t="s">
        <v>31</v>
      </c>
      <c r="X111" t="s">
        <v>1795</v>
      </c>
      <c r="Y111" t="str">
        <f>HYPERLINK("http://dx.doi.org/10.1007/s11160-023-09768-5","http://dx.doi.org/10.1007/s11160-023-09768-5")</f>
        <v>http://dx.doi.org/10.1007/s11160-023-09768-5</v>
      </c>
      <c r="Z111" t="s">
        <v>1796</v>
      </c>
      <c r="AA111" t="s">
        <v>537</v>
      </c>
      <c r="AB111" t="s">
        <v>537</v>
      </c>
      <c r="AC111" t="s">
        <v>47</v>
      </c>
      <c r="AD111" t="s">
        <v>1797</v>
      </c>
      <c r="AE111" t="str">
        <f>HYPERLINK("https%3A%2F%2Fwww.webofscience.com%2Fwos%2Fwoscc%2Ffull-record%2FWOS:000943576800002","View Full Record in Web of Science")</f>
        <v>View Full Record in Web of Science</v>
      </c>
    </row>
    <row r="112" spans="1:46" ht="20.100000000000001" customHeight="1" x14ac:dyDescent="0.2">
      <c r="A112" t="s">
        <v>1798</v>
      </c>
      <c r="B112" t="s">
        <v>1799</v>
      </c>
      <c r="C112" t="s">
        <v>1800</v>
      </c>
      <c r="D112" t="s">
        <v>223</v>
      </c>
      <c r="E112" t="s">
        <v>31</v>
      </c>
      <c r="F112" t="s">
        <v>1801</v>
      </c>
      <c r="G112" t="s">
        <v>1802</v>
      </c>
      <c r="H112" t="s">
        <v>1803</v>
      </c>
      <c r="I112" t="s">
        <v>1804</v>
      </c>
      <c r="J112" t="s">
        <v>1805</v>
      </c>
      <c r="L112" t="s">
        <v>1806</v>
      </c>
      <c r="M112" t="s">
        <v>1807</v>
      </c>
      <c r="N112" t="s">
        <v>1808</v>
      </c>
      <c r="O112" t="s">
        <v>1809</v>
      </c>
      <c r="P112">
        <v>2</v>
      </c>
      <c r="Q112" t="s">
        <v>1810</v>
      </c>
      <c r="R112">
        <v>2023</v>
      </c>
      <c r="S112">
        <v>13</v>
      </c>
      <c r="T112">
        <v>1</v>
      </c>
      <c r="U112" t="s">
        <v>31</v>
      </c>
      <c r="V112" t="s">
        <v>31</v>
      </c>
      <c r="W112">
        <v>2730</v>
      </c>
      <c r="X112" t="s">
        <v>1811</v>
      </c>
      <c r="Y112" t="str">
        <f>HYPERLINK("http://dx.doi.org/10.1038/s41598-023-29463-6","http://dx.doi.org/10.1038/s41598-023-29463-6")</f>
        <v>http://dx.doi.org/10.1038/s41598-023-29463-6</v>
      </c>
      <c r="Z112" t="s">
        <v>31</v>
      </c>
      <c r="AA112" t="s">
        <v>101</v>
      </c>
      <c r="AB112" t="s">
        <v>102</v>
      </c>
      <c r="AC112" t="s">
        <v>47</v>
      </c>
      <c r="AD112" t="s">
        <v>1812</v>
      </c>
      <c r="AE112" t="str">
        <f>HYPERLINK("https%3A%2F%2Fwww.webofscience.com%2Fwos%2Fwoscc%2Ffull-record%2FWOS:001012758100040","View Full Record in Web of Science")</f>
        <v>View Full Record in Web of Science</v>
      </c>
    </row>
    <row r="113" spans="1:31" ht="20.100000000000001" customHeight="1" x14ac:dyDescent="0.2">
      <c r="A113" t="s">
        <v>1813</v>
      </c>
      <c r="B113" t="s">
        <v>1814</v>
      </c>
      <c r="C113" t="s">
        <v>1815</v>
      </c>
      <c r="D113" t="s">
        <v>1816</v>
      </c>
      <c r="E113" t="s">
        <v>1817</v>
      </c>
      <c r="F113" t="s">
        <v>1818</v>
      </c>
      <c r="G113" t="s">
        <v>1819</v>
      </c>
      <c r="H113" t="s">
        <v>1820</v>
      </c>
      <c r="I113" t="s">
        <v>1821</v>
      </c>
      <c r="J113" t="s">
        <v>1822</v>
      </c>
      <c r="L113" t="s">
        <v>1823</v>
      </c>
      <c r="M113" t="s">
        <v>1824</v>
      </c>
      <c r="N113" t="s">
        <v>1825</v>
      </c>
      <c r="O113" t="s">
        <v>1826</v>
      </c>
      <c r="P113">
        <v>9</v>
      </c>
      <c r="Q113" t="s">
        <v>1750</v>
      </c>
      <c r="R113">
        <v>2023</v>
      </c>
      <c r="S113">
        <v>88</v>
      </c>
      <c r="T113">
        <v>4</v>
      </c>
      <c r="U113">
        <v>1349</v>
      </c>
      <c r="V113">
        <v>1364</v>
      </c>
      <c r="W113" t="s">
        <v>31</v>
      </c>
      <c r="X113" t="s">
        <v>1827</v>
      </c>
      <c r="Y113" t="str">
        <f>HYPERLINK("http://dx.doi.org/10.1111/1750-3841.16492","http://dx.doi.org/10.1111/1750-3841.16492")</f>
        <v>http://dx.doi.org/10.1111/1750-3841.16492</v>
      </c>
      <c r="Z113" t="s">
        <v>1828</v>
      </c>
      <c r="AA113" t="s">
        <v>46</v>
      </c>
      <c r="AB113" t="s">
        <v>46</v>
      </c>
      <c r="AC113" t="s">
        <v>47</v>
      </c>
      <c r="AD113" t="s">
        <v>1829</v>
      </c>
      <c r="AE113" t="str">
        <f>HYPERLINK("https%3A%2F%2Fwww.webofscience.com%2Fwos%2Fwoscc%2Ffull-record%2FWOS:000933468900001","View Full Record in Web of Science")</f>
        <v>View Full Record in Web of Science</v>
      </c>
    </row>
    <row r="114" spans="1:31" ht="20.100000000000001" customHeight="1" x14ac:dyDescent="0.2">
      <c r="A114" t="s">
        <v>1830</v>
      </c>
      <c r="B114" t="s">
        <v>1831</v>
      </c>
      <c r="C114" t="s">
        <v>1832</v>
      </c>
      <c r="D114" t="s">
        <v>624</v>
      </c>
      <c r="E114" t="s">
        <v>1833</v>
      </c>
      <c r="F114" t="s">
        <v>1834</v>
      </c>
      <c r="G114" t="s">
        <v>1835</v>
      </c>
      <c r="H114" t="s">
        <v>1836</v>
      </c>
      <c r="I114" t="s">
        <v>1837</v>
      </c>
      <c r="J114" t="s">
        <v>1838</v>
      </c>
      <c r="L114" t="s">
        <v>229</v>
      </c>
      <c r="M114" t="s">
        <v>1839</v>
      </c>
      <c r="N114" t="s">
        <v>1840</v>
      </c>
      <c r="O114" t="s">
        <v>1841</v>
      </c>
      <c r="P114">
        <v>18</v>
      </c>
      <c r="Q114" t="s">
        <v>1750</v>
      </c>
      <c r="R114">
        <v>2023</v>
      </c>
      <c r="S114">
        <v>29</v>
      </c>
      <c r="T114" t="s">
        <v>31</v>
      </c>
      <c r="U114" t="s">
        <v>31</v>
      </c>
      <c r="V114" t="s">
        <v>31</v>
      </c>
      <c r="W114">
        <v>101484</v>
      </c>
      <c r="X114" t="s">
        <v>1842</v>
      </c>
      <c r="Y114" t="str">
        <f>HYPERLINK("http://dx.doi.org/10.1016/j.aqrep.2023.101484","http://dx.doi.org/10.1016/j.aqrep.2023.101484")</f>
        <v>http://dx.doi.org/10.1016/j.aqrep.2023.101484</v>
      </c>
      <c r="Z114" t="s">
        <v>1828</v>
      </c>
      <c r="AA114" t="s">
        <v>218</v>
      </c>
      <c r="AB114" t="s">
        <v>218</v>
      </c>
      <c r="AC114" t="s">
        <v>47</v>
      </c>
      <c r="AD114" t="s">
        <v>1843</v>
      </c>
      <c r="AE114" t="str">
        <f>HYPERLINK("https%3A%2F%2Fwww.webofscience.com%2Fwos%2Fwoscc%2Ffull-record%2FWOS:000930538400001","View Full Record in Web of Science")</f>
        <v>View Full Record in Web of Science</v>
      </c>
    </row>
    <row r="115" spans="1:31" ht="20.100000000000001" customHeight="1" x14ac:dyDescent="0.2">
      <c r="A115" t="s">
        <v>1844</v>
      </c>
      <c r="B115" t="s">
        <v>1845</v>
      </c>
      <c r="C115" t="s">
        <v>1846</v>
      </c>
      <c r="D115" t="s">
        <v>107</v>
      </c>
      <c r="E115" t="s">
        <v>1847</v>
      </c>
      <c r="F115" t="s">
        <v>1848</v>
      </c>
      <c r="G115" t="s">
        <v>1849</v>
      </c>
      <c r="H115" t="s">
        <v>1850</v>
      </c>
      <c r="I115" t="s">
        <v>1851</v>
      </c>
      <c r="J115" t="s">
        <v>1852</v>
      </c>
      <c r="L115" t="s">
        <v>1853</v>
      </c>
      <c r="M115" t="s">
        <v>31</v>
      </c>
      <c r="N115" t="s">
        <v>31</v>
      </c>
      <c r="O115" t="s">
        <v>31</v>
      </c>
      <c r="P115">
        <v>6</v>
      </c>
      <c r="Q115" t="s">
        <v>447</v>
      </c>
      <c r="R115">
        <v>2023</v>
      </c>
      <c r="S115">
        <v>170</v>
      </c>
      <c r="T115">
        <v>2</v>
      </c>
      <c r="U115" t="s">
        <v>31</v>
      </c>
      <c r="V115" t="s">
        <v>31</v>
      </c>
      <c r="W115">
        <v>22</v>
      </c>
      <c r="X115" t="s">
        <v>1854</v>
      </c>
      <c r="Y115" t="str">
        <f>HYPERLINK("http://dx.doi.org/10.1007/s00227-022-04152-6","http://dx.doi.org/10.1007/s00227-022-04152-6")</f>
        <v>http://dx.doi.org/10.1007/s00227-022-04152-6</v>
      </c>
      <c r="Z115" t="s">
        <v>31</v>
      </c>
      <c r="AA115" t="s">
        <v>119</v>
      </c>
      <c r="AB115" t="s">
        <v>119</v>
      </c>
      <c r="AC115" t="s">
        <v>47</v>
      </c>
      <c r="AD115" t="s">
        <v>1855</v>
      </c>
      <c r="AE115" t="str">
        <f>HYPERLINK("https%3A%2F%2Fwww.webofscience.com%2Fwos%2Fwoscc%2Ffull-record%2FWOS:000922196500001","View Full Record in Web of Science")</f>
        <v>View Full Record in Web of Science</v>
      </c>
    </row>
    <row r="116" spans="1:31" ht="20.100000000000001" customHeight="1" x14ac:dyDescent="0.2">
      <c r="A116" t="s">
        <v>1856</v>
      </c>
      <c r="B116" t="s">
        <v>1857</v>
      </c>
      <c r="C116" t="s">
        <v>1858</v>
      </c>
      <c r="D116" t="s">
        <v>1859</v>
      </c>
      <c r="E116" t="s">
        <v>1860</v>
      </c>
      <c r="F116" t="s">
        <v>1861</v>
      </c>
      <c r="G116" t="s">
        <v>1862</v>
      </c>
      <c r="H116" t="s">
        <v>1863</v>
      </c>
      <c r="I116" t="s">
        <v>1864</v>
      </c>
      <c r="J116" t="s">
        <v>1865</v>
      </c>
      <c r="L116" t="s">
        <v>1866</v>
      </c>
      <c r="M116" t="s">
        <v>31</v>
      </c>
      <c r="N116" t="s">
        <v>31</v>
      </c>
      <c r="O116" t="s">
        <v>31</v>
      </c>
      <c r="P116">
        <v>38</v>
      </c>
      <c r="Q116" t="s">
        <v>447</v>
      </c>
      <c r="R116">
        <v>2023</v>
      </c>
      <c r="S116">
        <v>5</v>
      </c>
      <c r="T116">
        <v>2</v>
      </c>
      <c r="U116" t="s">
        <v>31</v>
      </c>
      <c r="V116" t="s">
        <v>31</v>
      </c>
      <c r="W116" t="s">
        <v>31</v>
      </c>
      <c r="X116" t="s">
        <v>1867</v>
      </c>
      <c r="Y116" t="str">
        <f>HYPERLINK("http://dx.doi.org/10.1002/aisy.202200201","http://dx.doi.org/10.1002/aisy.202200201")</f>
        <v>http://dx.doi.org/10.1002/aisy.202200201</v>
      </c>
      <c r="Z116" t="s">
        <v>1868</v>
      </c>
      <c r="AA116" t="s">
        <v>1869</v>
      </c>
      <c r="AB116" t="s">
        <v>1870</v>
      </c>
      <c r="AC116" t="s">
        <v>47</v>
      </c>
      <c r="AD116" t="s">
        <v>1871</v>
      </c>
      <c r="AE116" t="str">
        <f>HYPERLINK("https%3A%2F%2Fwww.webofscience.com%2Fwos%2Fwoscc%2Ffull-record%2FWOS:000913668800001","View Full Record in Web of Science")</f>
        <v>View Full Record in Web of Science</v>
      </c>
    </row>
    <row r="117" spans="1:31" ht="20.100000000000001" customHeight="1" x14ac:dyDescent="0.2">
      <c r="A117" t="s">
        <v>1872</v>
      </c>
      <c r="B117" t="s">
        <v>1873</v>
      </c>
      <c r="C117" t="s">
        <v>1874</v>
      </c>
      <c r="D117" t="s">
        <v>1875</v>
      </c>
      <c r="E117" t="s">
        <v>1876</v>
      </c>
      <c r="F117" t="s">
        <v>1877</v>
      </c>
      <c r="G117" t="s">
        <v>1878</v>
      </c>
      <c r="H117" t="s">
        <v>1879</v>
      </c>
      <c r="I117" t="s">
        <v>1416</v>
      </c>
      <c r="J117" t="s">
        <v>1880</v>
      </c>
      <c r="L117" t="s">
        <v>1881</v>
      </c>
      <c r="M117" t="s">
        <v>31</v>
      </c>
      <c r="N117" t="s">
        <v>31</v>
      </c>
      <c r="O117" t="s">
        <v>31</v>
      </c>
      <c r="P117">
        <v>1</v>
      </c>
      <c r="Q117" t="s">
        <v>31</v>
      </c>
      <c r="R117">
        <v>2023</v>
      </c>
      <c r="S117">
        <v>64</v>
      </c>
      <c r="T117">
        <v>2</v>
      </c>
      <c r="U117">
        <v>169</v>
      </c>
      <c r="V117">
        <v>174</v>
      </c>
      <c r="W117" t="s">
        <v>31</v>
      </c>
      <c r="X117" t="s">
        <v>1882</v>
      </c>
      <c r="Y117" t="str">
        <f>HYPERLINK("http://dx.doi.org/10.32582/aa.64.2.2","http://dx.doi.org/10.32582/aa.64.2.2")</f>
        <v>http://dx.doi.org/10.32582/aa.64.2.2</v>
      </c>
      <c r="Z117" t="s">
        <v>31</v>
      </c>
      <c r="AA117" t="s">
        <v>431</v>
      </c>
      <c r="AB117" t="s">
        <v>431</v>
      </c>
      <c r="AC117" t="s">
        <v>47</v>
      </c>
      <c r="AD117" t="s">
        <v>1883</v>
      </c>
      <c r="AE117" t="str">
        <f>HYPERLINK("https%3A%2F%2Fwww.webofscience.com%2Fwos%2Fwoscc%2Ffull-record%2FWOS:001155247700008","View Full Record in Web of Science")</f>
        <v>View Full Record in Web of Science</v>
      </c>
    </row>
    <row r="118" spans="1:31" ht="20.100000000000001" customHeight="1" x14ac:dyDescent="0.2">
      <c r="A118" t="s">
        <v>1884</v>
      </c>
      <c r="B118" t="s">
        <v>1885</v>
      </c>
      <c r="C118" t="s">
        <v>1886</v>
      </c>
      <c r="D118" t="s">
        <v>1887</v>
      </c>
      <c r="E118" t="s">
        <v>1888</v>
      </c>
      <c r="F118" t="s">
        <v>1889</v>
      </c>
      <c r="G118" t="s">
        <v>1890</v>
      </c>
      <c r="H118" t="s">
        <v>1891</v>
      </c>
      <c r="I118" t="s">
        <v>529</v>
      </c>
      <c r="J118" t="s">
        <v>1892</v>
      </c>
      <c r="L118" t="s">
        <v>443</v>
      </c>
      <c r="M118" t="s">
        <v>1893</v>
      </c>
      <c r="N118" t="s">
        <v>1894</v>
      </c>
      <c r="O118" t="s">
        <v>1895</v>
      </c>
      <c r="P118">
        <v>6</v>
      </c>
      <c r="Q118" t="s">
        <v>44</v>
      </c>
      <c r="R118">
        <v>2023</v>
      </c>
      <c r="S118">
        <v>174</v>
      </c>
      <c r="T118" t="s">
        <v>31</v>
      </c>
      <c r="U118" t="s">
        <v>31</v>
      </c>
      <c r="V118" t="s">
        <v>31</v>
      </c>
      <c r="W118">
        <v>105955</v>
      </c>
      <c r="X118" t="s">
        <v>1896</v>
      </c>
      <c r="Y118" t="str">
        <f>HYPERLINK("http://dx.doi.org/10.1016/j.micpath.2022.105955","http://dx.doi.org/10.1016/j.micpath.2022.105955")</f>
        <v>http://dx.doi.org/10.1016/j.micpath.2022.105955</v>
      </c>
      <c r="Z118" t="s">
        <v>1897</v>
      </c>
      <c r="AA118" t="s">
        <v>1898</v>
      </c>
      <c r="AB118" t="s">
        <v>1898</v>
      </c>
      <c r="AC118" t="s">
        <v>47</v>
      </c>
      <c r="AD118" t="s">
        <v>1899</v>
      </c>
      <c r="AE118" t="str">
        <f>HYPERLINK("https%3A%2F%2Fwww.webofscience.com%2Fwos%2Fwoscc%2Ffull-record%2FWOS:000917455700001","View Full Record in Web of Science")</f>
        <v>View Full Record in Web of Science</v>
      </c>
    </row>
    <row r="119" spans="1:31" ht="20.100000000000001" customHeight="1" x14ac:dyDescent="0.2">
      <c r="A119" t="s">
        <v>1900</v>
      </c>
      <c r="B119" t="s">
        <v>1901</v>
      </c>
      <c r="C119" t="s">
        <v>1902</v>
      </c>
      <c r="D119" t="s">
        <v>874</v>
      </c>
      <c r="E119" t="s">
        <v>1903</v>
      </c>
      <c r="F119" t="s">
        <v>1904</v>
      </c>
      <c r="G119" t="s">
        <v>1905</v>
      </c>
      <c r="H119" t="s">
        <v>1906</v>
      </c>
      <c r="I119" t="s">
        <v>1907</v>
      </c>
      <c r="J119" t="s">
        <v>1908</v>
      </c>
      <c r="L119" t="s">
        <v>1909</v>
      </c>
      <c r="M119" t="s">
        <v>1910</v>
      </c>
      <c r="N119" t="s">
        <v>1911</v>
      </c>
      <c r="O119" t="s">
        <v>1912</v>
      </c>
      <c r="P119">
        <v>8</v>
      </c>
      <c r="Q119" t="s">
        <v>44</v>
      </c>
      <c r="R119">
        <v>2023</v>
      </c>
      <c r="S119">
        <v>186</v>
      </c>
      <c r="T119" t="s">
        <v>31</v>
      </c>
      <c r="U119" t="s">
        <v>31</v>
      </c>
      <c r="V119" t="s">
        <v>31</v>
      </c>
      <c r="W119">
        <v>114464</v>
      </c>
      <c r="X119" t="s">
        <v>1913</v>
      </c>
      <c r="Y119" t="str">
        <f>HYPERLINK("http://dx.doi.org/10.1016/j.marpolbul.2022.114464","http://dx.doi.org/10.1016/j.marpolbul.2022.114464")</f>
        <v>http://dx.doi.org/10.1016/j.marpolbul.2022.114464</v>
      </c>
      <c r="Z119" t="s">
        <v>1897</v>
      </c>
      <c r="AA119" t="s">
        <v>885</v>
      </c>
      <c r="AB119" t="s">
        <v>288</v>
      </c>
      <c r="AC119" t="s">
        <v>47</v>
      </c>
      <c r="AD119" t="s">
        <v>1914</v>
      </c>
      <c r="AE119" t="str">
        <f>HYPERLINK("https%3A%2F%2Fwww.webofscience.com%2Fwos%2Fwoscc%2Ffull-record%2FWOS:000899353900001","View Full Record in Web of Science")</f>
        <v>View Full Record in Web of Science</v>
      </c>
    </row>
    <row r="120" spans="1:31" ht="20.100000000000001" customHeight="1" x14ac:dyDescent="0.2">
      <c r="A120" t="s">
        <v>1915</v>
      </c>
      <c r="B120" t="s">
        <v>1916</v>
      </c>
      <c r="C120" t="s">
        <v>1917</v>
      </c>
      <c r="D120" t="s">
        <v>1918</v>
      </c>
      <c r="E120" t="s">
        <v>1919</v>
      </c>
      <c r="F120" t="s">
        <v>1920</v>
      </c>
      <c r="G120" t="s">
        <v>1921</v>
      </c>
      <c r="H120" t="s">
        <v>1922</v>
      </c>
      <c r="I120" t="s">
        <v>1923</v>
      </c>
      <c r="J120" t="s">
        <v>1924</v>
      </c>
      <c r="L120" t="s">
        <v>1925</v>
      </c>
      <c r="M120" t="s">
        <v>31</v>
      </c>
      <c r="N120" t="s">
        <v>31</v>
      </c>
      <c r="O120" t="s">
        <v>31</v>
      </c>
      <c r="P120">
        <v>3</v>
      </c>
      <c r="Q120" t="s">
        <v>452</v>
      </c>
      <c r="R120">
        <v>2022</v>
      </c>
      <c r="S120">
        <v>2</v>
      </c>
      <c r="T120" t="s">
        <v>31</v>
      </c>
      <c r="U120" t="s">
        <v>31</v>
      </c>
      <c r="V120" t="s">
        <v>31</v>
      </c>
      <c r="W120">
        <v>100032</v>
      </c>
      <c r="X120" t="s">
        <v>1926</v>
      </c>
      <c r="Y120" t="str">
        <f>HYPERLINK("http://dx.doi.org/10.1016/j.jtemin.2022.100032","http://dx.doi.org/10.1016/j.jtemin.2022.100032")</f>
        <v>http://dx.doi.org/10.1016/j.jtemin.2022.100032</v>
      </c>
      <c r="Z120" t="s">
        <v>31</v>
      </c>
      <c r="AA120" t="s">
        <v>1927</v>
      </c>
      <c r="AB120" t="s">
        <v>1928</v>
      </c>
      <c r="AC120" t="s">
        <v>47</v>
      </c>
      <c r="AD120" t="s">
        <v>1929</v>
      </c>
      <c r="AE120" t="str">
        <f>HYPERLINK("https%3A%2F%2Fwww.webofscience.com%2Fwos%2Fwoscc%2Ffull-record%2FWOS:001634505300033","View Full Record in Web of Science")</f>
        <v>View Full Record in Web of Science</v>
      </c>
    </row>
    <row r="121" spans="1:31" ht="20.100000000000001" customHeight="1" x14ac:dyDescent="0.2">
      <c r="A121" t="s">
        <v>1930</v>
      </c>
      <c r="B121" t="s">
        <v>1931</v>
      </c>
      <c r="C121" t="s">
        <v>1932</v>
      </c>
      <c r="D121" t="s">
        <v>1933</v>
      </c>
      <c r="E121" t="s">
        <v>31</v>
      </c>
      <c r="F121" t="s">
        <v>1934</v>
      </c>
      <c r="G121" t="s">
        <v>1935</v>
      </c>
      <c r="H121" t="s">
        <v>1936</v>
      </c>
      <c r="I121" t="s">
        <v>1937</v>
      </c>
      <c r="J121" t="s">
        <v>1938</v>
      </c>
      <c r="L121" t="s">
        <v>1939</v>
      </c>
      <c r="M121" t="s">
        <v>1940</v>
      </c>
      <c r="N121" t="s">
        <v>1941</v>
      </c>
      <c r="O121" t="s">
        <v>1942</v>
      </c>
      <c r="P121">
        <v>59</v>
      </c>
      <c r="Q121" t="s">
        <v>1943</v>
      </c>
      <c r="R121">
        <v>2022</v>
      </c>
      <c r="S121">
        <v>13</v>
      </c>
      <c r="T121">
        <v>1</v>
      </c>
      <c r="U121" t="s">
        <v>31</v>
      </c>
      <c r="V121" t="s">
        <v>31</v>
      </c>
      <c r="W121">
        <v>7392</v>
      </c>
      <c r="X121" t="s">
        <v>1944</v>
      </c>
      <c r="Y121" t="str">
        <f>HYPERLINK("http://dx.doi.org/10.1038/s41467-022-35198-1","http://dx.doi.org/10.1038/s41467-022-35198-1")</f>
        <v>http://dx.doi.org/10.1038/s41467-022-35198-1</v>
      </c>
      <c r="Z121" t="s">
        <v>31</v>
      </c>
      <c r="AA121" t="s">
        <v>101</v>
      </c>
      <c r="AB121" t="s">
        <v>102</v>
      </c>
      <c r="AC121" t="s">
        <v>47</v>
      </c>
      <c r="AD121" t="s">
        <v>1945</v>
      </c>
      <c r="AE121" t="str">
        <f>HYPERLINK("https%3A%2F%2Fwww.webofscience.com%2Fwos%2Fwoscc%2Ffull-record%2FWOS:001025612900032","View Full Record in Web of Science")</f>
        <v>View Full Record in Web of Science</v>
      </c>
    </row>
    <row r="122" spans="1:31" ht="20.100000000000001" customHeight="1" x14ac:dyDescent="0.2">
      <c r="A122" t="s">
        <v>1946</v>
      </c>
      <c r="B122" t="s">
        <v>1947</v>
      </c>
      <c r="C122" t="s">
        <v>1948</v>
      </c>
      <c r="D122" t="s">
        <v>542</v>
      </c>
      <c r="E122" t="s">
        <v>1949</v>
      </c>
      <c r="F122" t="s">
        <v>1950</v>
      </c>
      <c r="G122" t="s">
        <v>1951</v>
      </c>
      <c r="H122" t="s">
        <v>1952</v>
      </c>
      <c r="I122" t="s">
        <v>1953</v>
      </c>
      <c r="J122" t="s">
        <v>1954</v>
      </c>
      <c r="L122" t="s">
        <v>1955</v>
      </c>
      <c r="M122" t="s">
        <v>1956</v>
      </c>
      <c r="N122" t="s">
        <v>1957</v>
      </c>
      <c r="O122" t="s">
        <v>1958</v>
      </c>
      <c r="P122">
        <v>24</v>
      </c>
      <c r="Q122" t="s">
        <v>1943</v>
      </c>
      <c r="R122">
        <v>2022</v>
      </c>
      <c r="S122">
        <v>9</v>
      </c>
      <c r="T122" t="s">
        <v>31</v>
      </c>
      <c r="U122" t="s">
        <v>31</v>
      </c>
      <c r="V122" t="s">
        <v>31</v>
      </c>
      <c r="W122">
        <v>1018766</v>
      </c>
      <c r="X122" t="s">
        <v>1959</v>
      </c>
      <c r="Y122" t="str">
        <f>HYPERLINK("http://dx.doi.org/10.3389/fmars.2022.1018766","http://dx.doi.org/10.3389/fmars.2022.1018766")</f>
        <v>http://dx.doi.org/10.3389/fmars.2022.1018766</v>
      </c>
      <c r="Z122" t="s">
        <v>31</v>
      </c>
      <c r="AA122" t="s">
        <v>554</v>
      </c>
      <c r="AB122" t="s">
        <v>555</v>
      </c>
      <c r="AC122" t="s">
        <v>47</v>
      </c>
      <c r="AD122" t="s">
        <v>1960</v>
      </c>
      <c r="AE122" t="str">
        <f>HYPERLINK("https%3A%2F%2Fwww.webofscience.com%2Fwos%2Fwoscc%2Ffull-record%2FWOS:000897956300001","View Full Record in Web of Science")</f>
        <v>View Full Record in Web of Science</v>
      </c>
    </row>
    <row r="123" spans="1:31" ht="20.100000000000001" customHeight="1" x14ac:dyDescent="0.2">
      <c r="A123" t="s">
        <v>1961</v>
      </c>
      <c r="B123" t="s">
        <v>1962</v>
      </c>
      <c r="C123" t="s">
        <v>1963</v>
      </c>
      <c r="D123" t="s">
        <v>1964</v>
      </c>
      <c r="E123" t="s">
        <v>31</v>
      </c>
      <c r="F123" t="s">
        <v>1965</v>
      </c>
      <c r="G123" t="s">
        <v>1966</v>
      </c>
      <c r="H123" t="s">
        <v>1967</v>
      </c>
      <c r="I123" t="s">
        <v>1968</v>
      </c>
      <c r="J123" t="s">
        <v>1969</v>
      </c>
      <c r="L123" t="s">
        <v>1970</v>
      </c>
      <c r="M123" t="s">
        <v>1971</v>
      </c>
      <c r="N123" t="s">
        <v>1972</v>
      </c>
      <c r="O123" t="s">
        <v>1973</v>
      </c>
      <c r="P123">
        <v>36</v>
      </c>
      <c r="Q123" t="s">
        <v>1974</v>
      </c>
      <c r="R123">
        <v>2022</v>
      </c>
      <c r="S123">
        <v>8</v>
      </c>
      <c r="T123">
        <v>47</v>
      </c>
      <c r="U123" t="s">
        <v>31</v>
      </c>
      <c r="V123" t="s">
        <v>31</v>
      </c>
      <c r="W123" t="s">
        <v>1975</v>
      </c>
      <c r="X123" t="s">
        <v>1976</v>
      </c>
      <c r="Y123" t="str">
        <f>HYPERLINK("http://dx.doi.org/10.1126/sciadv.add9938","http://dx.doi.org/10.1126/sciadv.add9938")</f>
        <v>http://dx.doi.org/10.1126/sciadv.add9938</v>
      </c>
      <c r="Z123" t="s">
        <v>31</v>
      </c>
      <c r="AA123" t="s">
        <v>101</v>
      </c>
      <c r="AB123" t="s">
        <v>102</v>
      </c>
      <c r="AC123" t="s">
        <v>47</v>
      </c>
      <c r="AD123" t="s">
        <v>1977</v>
      </c>
      <c r="AE123" t="str">
        <f>HYPERLINK("https%3A%2F%2Fwww.webofscience.com%2Fwos%2Fwoscc%2Ffull-record%2FWOS:000950622600003","View Full Record in Web of Science")</f>
        <v>View Full Record in Web of Science</v>
      </c>
    </row>
    <row r="124" spans="1:31" ht="20.100000000000001" customHeight="1" x14ac:dyDescent="0.2">
      <c r="A124" t="s">
        <v>1978</v>
      </c>
      <c r="B124" t="s">
        <v>1979</v>
      </c>
      <c r="C124" t="s">
        <v>1980</v>
      </c>
      <c r="D124" t="s">
        <v>1981</v>
      </c>
      <c r="E124" t="s">
        <v>1982</v>
      </c>
      <c r="F124" t="s">
        <v>1983</v>
      </c>
      <c r="G124" t="s">
        <v>1984</v>
      </c>
      <c r="H124" t="s">
        <v>1985</v>
      </c>
      <c r="I124" t="s">
        <v>1986</v>
      </c>
      <c r="J124" t="s">
        <v>1987</v>
      </c>
      <c r="L124" t="s">
        <v>1988</v>
      </c>
      <c r="M124" t="s">
        <v>1989</v>
      </c>
      <c r="N124" t="s">
        <v>1990</v>
      </c>
      <c r="O124" t="s">
        <v>1991</v>
      </c>
      <c r="P124">
        <v>8</v>
      </c>
      <c r="Q124" t="s">
        <v>62</v>
      </c>
      <c r="R124">
        <v>2022</v>
      </c>
      <c r="S124">
        <v>11</v>
      </c>
      <c r="T124">
        <v>11</v>
      </c>
      <c r="U124" t="s">
        <v>31</v>
      </c>
      <c r="V124" t="s">
        <v>31</v>
      </c>
      <c r="W124">
        <v>2091</v>
      </c>
      <c r="X124" t="s">
        <v>1992</v>
      </c>
      <c r="Y124" t="str">
        <f>HYPERLINK("http://dx.doi.org/10.3390/antiox11112091","http://dx.doi.org/10.3390/antiox11112091")</f>
        <v>http://dx.doi.org/10.3390/antiox11112091</v>
      </c>
      <c r="Z124" t="s">
        <v>31</v>
      </c>
      <c r="AA124" t="s">
        <v>1993</v>
      </c>
      <c r="AB124" t="s">
        <v>1994</v>
      </c>
      <c r="AC124" t="s">
        <v>47</v>
      </c>
      <c r="AD124" t="s">
        <v>1995</v>
      </c>
      <c r="AE124" t="str">
        <f>HYPERLINK("https%3A%2F%2Fwww.webofscience.com%2Fwos%2Fwoscc%2Ffull-record%2FWOS:000880682000001","View Full Record in Web of Science")</f>
        <v>View Full Record in Web of Science</v>
      </c>
    </row>
    <row r="125" spans="1:31" ht="20.100000000000001" customHeight="1" x14ac:dyDescent="0.2">
      <c r="A125" t="s">
        <v>1996</v>
      </c>
      <c r="B125" t="s">
        <v>1997</v>
      </c>
      <c r="C125" t="s">
        <v>1998</v>
      </c>
      <c r="D125" t="s">
        <v>1544</v>
      </c>
      <c r="E125" t="s">
        <v>1999</v>
      </c>
      <c r="F125" t="s">
        <v>2000</v>
      </c>
      <c r="G125" t="s">
        <v>2001</v>
      </c>
      <c r="H125" t="s">
        <v>2002</v>
      </c>
      <c r="I125" t="s">
        <v>2003</v>
      </c>
      <c r="J125" t="s">
        <v>2004</v>
      </c>
      <c r="L125" t="s">
        <v>2005</v>
      </c>
      <c r="M125" t="s">
        <v>31</v>
      </c>
      <c r="N125" t="s">
        <v>31</v>
      </c>
      <c r="O125" t="s">
        <v>31</v>
      </c>
      <c r="P125">
        <v>4</v>
      </c>
      <c r="Q125" t="s">
        <v>718</v>
      </c>
      <c r="R125">
        <v>2023</v>
      </c>
      <c r="S125">
        <v>60</v>
      </c>
      <c r="T125">
        <v>5</v>
      </c>
      <c r="U125">
        <v>599</v>
      </c>
      <c r="V125">
        <v>604</v>
      </c>
      <c r="W125" t="s">
        <v>31</v>
      </c>
      <c r="X125" t="s">
        <v>2006</v>
      </c>
      <c r="Y125" t="str">
        <f>HYPERLINK("http://dx.doi.org/10.1177/03009858221128915","http://dx.doi.org/10.1177/03009858221128915")</f>
        <v>http://dx.doi.org/10.1177/03009858221128915</v>
      </c>
      <c r="Z125" t="s">
        <v>2007</v>
      </c>
      <c r="AA125" t="s">
        <v>1553</v>
      </c>
      <c r="AB125" t="s">
        <v>1553</v>
      </c>
      <c r="AC125" t="s">
        <v>47</v>
      </c>
      <c r="AD125" t="s">
        <v>2008</v>
      </c>
      <c r="AE125" t="str">
        <f>HYPERLINK("https%3A%2F%2Fwww.webofscience.com%2Fwos%2Fwoscc%2Ffull-record%2FWOS:000868405900001","View Full Record in Web of Science")</f>
        <v>View Full Record in Web of Science</v>
      </c>
    </row>
    <row r="126" spans="1:31" ht="20.100000000000001" customHeight="1" x14ac:dyDescent="0.2">
      <c r="A126" t="s">
        <v>2009</v>
      </c>
      <c r="B126" t="s">
        <v>2010</v>
      </c>
      <c r="C126" t="s">
        <v>2011</v>
      </c>
      <c r="D126" t="s">
        <v>2012</v>
      </c>
      <c r="E126" t="s">
        <v>31</v>
      </c>
      <c r="F126" t="s">
        <v>2013</v>
      </c>
      <c r="G126" t="s">
        <v>2014</v>
      </c>
      <c r="H126" t="s">
        <v>2015</v>
      </c>
      <c r="I126" t="s">
        <v>2016</v>
      </c>
      <c r="J126" t="s">
        <v>957</v>
      </c>
      <c r="L126" t="s">
        <v>229</v>
      </c>
      <c r="M126" t="s">
        <v>2017</v>
      </c>
      <c r="N126" t="s">
        <v>2018</v>
      </c>
      <c r="O126" t="s">
        <v>2019</v>
      </c>
      <c r="P126">
        <v>15</v>
      </c>
      <c r="Q126" t="s">
        <v>2020</v>
      </c>
      <c r="R126">
        <v>2022</v>
      </c>
      <c r="S126">
        <v>9</v>
      </c>
      <c r="T126">
        <v>1</v>
      </c>
      <c r="U126" t="s">
        <v>31</v>
      </c>
      <c r="V126" t="s">
        <v>31</v>
      </c>
      <c r="W126">
        <v>609</v>
      </c>
      <c r="X126" t="s">
        <v>2021</v>
      </c>
      <c r="Y126" t="str">
        <f>HYPERLINK("http://dx.doi.org/10.1038/s41597-022-01735-2","http://dx.doi.org/10.1038/s41597-022-01735-2")</f>
        <v>http://dx.doi.org/10.1038/s41597-022-01735-2</v>
      </c>
      <c r="Z126" t="s">
        <v>31</v>
      </c>
      <c r="AA126" t="s">
        <v>101</v>
      </c>
      <c r="AB126" t="s">
        <v>102</v>
      </c>
      <c r="AC126" t="s">
        <v>47</v>
      </c>
      <c r="AD126" t="s">
        <v>2022</v>
      </c>
      <c r="AE126" t="str">
        <f>HYPERLINK("https%3A%2F%2Fwww.webofscience.com%2Fwos%2Fwoscc%2Ffull-record%2FWOS:000865188500002","View Full Record in Web of Science")</f>
        <v>View Full Record in Web of Science</v>
      </c>
    </row>
    <row r="127" spans="1:31" ht="20.100000000000001" customHeight="1" x14ac:dyDescent="0.2">
      <c r="A127" t="s">
        <v>2023</v>
      </c>
      <c r="B127" t="s">
        <v>2024</v>
      </c>
      <c r="C127" t="s">
        <v>2025</v>
      </c>
      <c r="D127" t="s">
        <v>542</v>
      </c>
      <c r="E127" t="s">
        <v>2026</v>
      </c>
      <c r="F127" t="s">
        <v>2027</v>
      </c>
      <c r="G127" t="s">
        <v>2028</v>
      </c>
      <c r="H127" t="s">
        <v>2029</v>
      </c>
      <c r="I127" t="s">
        <v>2030</v>
      </c>
      <c r="J127" t="s">
        <v>2031</v>
      </c>
      <c r="L127" t="s">
        <v>2032</v>
      </c>
      <c r="M127" t="s">
        <v>2033</v>
      </c>
      <c r="N127" t="s">
        <v>2034</v>
      </c>
      <c r="O127" t="s">
        <v>2035</v>
      </c>
      <c r="P127">
        <v>2</v>
      </c>
      <c r="Q127" t="s">
        <v>2036</v>
      </c>
      <c r="R127">
        <v>2022</v>
      </c>
      <c r="S127">
        <v>9</v>
      </c>
      <c r="T127" t="s">
        <v>31</v>
      </c>
      <c r="U127" t="s">
        <v>31</v>
      </c>
      <c r="V127" t="s">
        <v>31</v>
      </c>
      <c r="W127">
        <v>971764</v>
      </c>
      <c r="X127" t="s">
        <v>2037</v>
      </c>
      <c r="Y127" t="str">
        <f>HYPERLINK("http://dx.doi.org/10.3389/fmars.2022.971764","http://dx.doi.org/10.3389/fmars.2022.971764")</f>
        <v>http://dx.doi.org/10.3389/fmars.2022.971764</v>
      </c>
      <c r="Z127" t="s">
        <v>31</v>
      </c>
      <c r="AA127" t="s">
        <v>554</v>
      </c>
      <c r="AB127" t="s">
        <v>555</v>
      </c>
      <c r="AC127" t="s">
        <v>47</v>
      </c>
      <c r="AD127" t="s">
        <v>2038</v>
      </c>
      <c r="AE127" t="str">
        <f>HYPERLINK("https%3A%2F%2Fwww.webofscience.com%2Fwos%2Fwoscc%2Ffull-record%2FWOS:000874175100001","View Full Record in Web of Science")</f>
        <v>View Full Record in Web of Science</v>
      </c>
    </row>
    <row r="128" spans="1:31" ht="20.100000000000001" customHeight="1" x14ac:dyDescent="0.2">
      <c r="A128" t="s">
        <v>2039</v>
      </c>
      <c r="B128" t="s">
        <v>2040</v>
      </c>
      <c r="C128" t="s">
        <v>2041</v>
      </c>
      <c r="D128" t="s">
        <v>2042</v>
      </c>
      <c r="E128" t="s">
        <v>2043</v>
      </c>
      <c r="F128" t="s">
        <v>2044</v>
      </c>
      <c r="G128" t="s">
        <v>2045</v>
      </c>
      <c r="H128" t="s">
        <v>2046</v>
      </c>
      <c r="I128" t="s">
        <v>2047</v>
      </c>
      <c r="J128" t="s">
        <v>2048</v>
      </c>
      <c r="L128" t="s">
        <v>2049</v>
      </c>
      <c r="M128" t="s">
        <v>2050</v>
      </c>
      <c r="N128" t="s">
        <v>2051</v>
      </c>
      <c r="O128" t="s">
        <v>2052</v>
      </c>
      <c r="P128">
        <v>8</v>
      </c>
      <c r="Q128" t="s">
        <v>1466</v>
      </c>
      <c r="R128">
        <v>2022</v>
      </c>
      <c r="S128">
        <v>225</v>
      </c>
      <c r="T128">
        <v>19</v>
      </c>
      <c r="U128" t="s">
        <v>31</v>
      </c>
      <c r="V128" t="s">
        <v>31</v>
      </c>
      <c r="W128" t="s">
        <v>2053</v>
      </c>
      <c r="X128" t="s">
        <v>2054</v>
      </c>
      <c r="Y128" t="str">
        <f>HYPERLINK("http://dx.doi.org/10.1242/jeb.244234","http://dx.doi.org/10.1242/jeb.244234")</f>
        <v>http://dx.doi.org/10.1242/jeb.244234</v>
      </c>
      <c r="Z128" t="s">
        <v>31</v>
      </c>
      <c r="AA128" t="s">
        <v>2055</v>
      </c>
      <c r="AB128" t="s">
        <v>2056</v>
      </c>
      <c r="AC128" t="s">
        <v>47</v>
      </c>
      <c r="AD128" t="s">
        <v>2057</v>
      </c>
      <c r="AE128" t="str">
        <f>HYPERLINK("https%3A%2F%2Fwww.webofscience.com%2Fwos%2Fwoscc%2Ffull-record%2FWOS:001043959700011","View Full Record in Web of Science")</f>
        <v>View Full Record in Web of Science</v>
      </c>
    </row>
    <row r="129" spans="1:31" ht="20.100000000000001" customHeight="1" x14ac:dyDescent="0.2">
      <c r="A129" t="s">
        <v>2058</v>
      </c>
      <c r="B129" t="s">
        <v>2059</v>
      </c>
      <c r="C129" t="s">
        <v>2060</v>
      </c>
      <c r="D129" t="s">
        <v>2061</v>
      </c>
      <c r="E129" t="s">
        <v>2062</v>
      </c>
      <c r="F129" t="s">
        <v>2063</v>
      </c>
      <c r="G129" t="s">
        <v>2064</v>
      </c>
      <c r="H129" t="s">
        <v>2065</v>
      </c>
      <c r="I129" t="s">
        <v>2066</v>
      </c>
      <c r="J129" t="s">
        <v>2067</v>
      </c>
      <c r="L129" t="s">
        <v>2068</v>
      </c>
      <c r="M129" t="s">
        <v>2069</v>
      </c>
      <c r="N129" t="s">
        <v>2070</v>
      </c>
      <c r="O129" t="s">
        <v>2071</v>
      </c>
      <c r="P129">
        <v>12</v>
      </c>
      <c r="Q129" t="s">
        <v>44</v>
      </c>
      <c r="R129">
        <v>2023</v>
      </c>
      <c r="S129">
        <v>115</v>
      </c>
      <c r="T129" t="s">
        <v>31</v>
      </c>
      <c r="U129" t="s">
        <v>31</v>
      </c>
      <c r="V129" t="s">
        <v>31</v>
      </c>
      <c r="W129">
        <v>104871</v>
      </c>
      <c r="X129" t="s">
        <v>2072</v>
      </c>
      <c r="Y129" t="str">
        <f>HYPERLINK("http://dx.doi.org/10.1016/j.jfca.2022.104871","http://dx.doi.org/10.1016/j.jfca.2022.104871")</f>
        <v>http://dx.doi.org/10.1016/j.jfca.2022.104871</v>
      </c>
      <c r="Z129" t="s">
        <v>2073</v>
      </c>
      <c r="AA129" t="s">
        <v>2074</v>
      </c>
      <c r="AB129" t="s">
        <v>2075</v>
      </c>
      <c r="AC129" t="s">
        <v>47</v>
      </c>
      <c r="AD129" t="s">
        <v>2076</v>
      </c>
      <c r="AE129" t="str">
        <f>HYPERLINK("https%3A%2F%2Fwww.webofscience.com%2Fwos%2Fwoscc%2Ffull-record%2FWOS:000863291200003","View Full Record in Web of Science")</f>
        <v>View Full Record in Web of Science</v>
      </c>
    </row>
    <row r="130" spans="1:31" ht="20.100000000000001" customHeight="1" x14ac:dyDescent="0.2">
      <c r="A130" t="s">
        <v>2077</v>
      </c>
      <c r="B130" t="s">
        <v>2078</v>
      </c>
      <c r="C130" t="s">
        <v>2079</v>
      </c>
      <c r="D130" t="s">
        <v>124</v>
      </c>
      <c r="E130" t="s">
        <v>2080</v>
      </c>
      <c r="F130" t="s">
        <v>2081</v>
      </c>
      <c r="G130" t="s">
        <v>2082</v>
      </c>
      <c r="H130" t="s">
        <v>2083</v>
      </c>
      <c r="I130" t="s">
        <v>1821</v>
      </c>
      <c r="J130" t="s">
        <v>2084</v>
      </c>
      <c r="L130" t="s">
        <v>1823</v>
      </c>
      <c r="M130" t="s">
        <v>2085</v>
      </c>
      <c r="N130" t="s">
        <v>2086</v>
      </c>
      <c r="O130" t="s">
        <v>2087</v>
      </c>
      <c r="P130">
        <v>15</v>
      </c>
      <c r="Q130" t="s">
        <v>718</v>
      </c>
      <c r="R130">
        <v>2022</v>
      </c>
      <c r="S130">
        <v>11</v>
      </c>
      <c r="T130">
        <v>17</v>
      </c>
      <c r="U130" t="s">
        <v>31</v>
      </c>
      <c r="V130" t="s">
        <v>31</v>
      </c>
      <c r="W130">
        <v>2699</v>
      </c>
      <c r="X130" t="s">
        <v>2088</v>
      </c>
      <c r="Y130" t="str">
        <f>HYPERLINK("http://dx.doi.org/10.3390/foods11172699","http://dx.doi.org/10.3390/foods11172699")</f>
        <v>http://dx.doi.org/10.3390/foods11172699</v>
      </c>
      <c r="Z130" t="s">
        <v>31</v>
      </c>
      <c r="AA130" t="s">
        <v>46</v>
      </c>
      <c r="AB130" t="s">
        <v>46</v>
      </c>
      <c r="AC130" t="s">
        <v>47</v>
      </c>
      <c r="AD130" t="s">
        <v>2089</v>
      </c>
      <c r="AE130" t="str">
        <f>HYPERLINK("https%3A%2F%2Fwww.webofscience.com%2Fwos%2Fwoscc%2Ffull-record%2FWOS:000851003600001","View Full Record in Web of Science")</f>
        <v>View Full Record in Web of Science</v>
      </c>
    </row>
    <row r="131" spans="1:31" ht="20.100000000000001" customHeight="1" x14ac:dyDescent="0.2">
      <c r="A131" t="s">
        <v>2090</v>
      </c>
      <c r="B131" t="s">
        <v>2091</v>
      </c>
      <c r="C131" t="s">
        <v>2092</v>
      </c>
      <c r="D131" t="s">
        <v>1591</v>
      </c>
      <c r="E131" t="s">
        <v>2093</v>
      </c>
      <c r="F131" t="s">
        <v>2094</v>
      </c>
      <c r="G131" t="s">
        <v>2095</v>
      </c>
      <c r="H131" t="s">
        <v>2096</v>
      </c>
      <c r="I131" t="s">
        <v>1416</v>
      </c>
      <c r="J131" t="s">
        <v>2097</v>
      </c>
      <c r="L131" t="s">
        <v>2098</v>
      </c>
      <c r="M131" t="s">
        <v>2099</v>
      </c>
      <c r="N131" t="s">
        <v>2100</v>
      </c>
      <c r="O131" t="s">
        <v>2101</v>
      </c>
      <c r="P131">
        <v>8</v>
      </c>
      <c r="Q131" t="s">
        <v>1722</v>
      </c>
      <c r="R131">
        <v>2022</v>
      </c>
      <c r="S131">
        <v>13</v>
      </c>
      <c r="T131" t="s">
        <v>31</v>
      </c>
      <c r="U131" t="s">
        <v>31</v>
      </c>
      <c r="V131" t="s">
        <v>31</v>
      </c>
      <c r="W131">
        <v>951808</v>
      </c>
      <c r="X131" t="s">
        <v>2102</v>
      </c>
      <c r="Y131" t="str">
        <f>HYPERLINK("http://dx.doi.org/10.3389/fphys.2022.951808","http://dx.doi.org/10.3389/fphys.2022.951808")</f>
        <v>http://dx.doi.org/10.3389/fphys.2022.951808</v>
      </c>
      <c r="Z131" t="s">
        <v>31</v>
      </c>
      <c r="AA131" t="s">
        <v>1592</v>
      </c>
      <c r="AB131" t="s">
        <v>1592</v>
      </c>
      <c r="AC131" t="s">
        <v>47</v>
      </c>
      <c r="AD131" t="s">
        <v>2103</v>
      </c>
      <c r="AE131" t="str">
        <f>HYPERLINK("https%3A%2F%2Fwww.webofscience.com%2Fwos%2Fwoscc%2Ffull-record%2FWOS:000874808600001","View Full Record in Web of Science")</f>
        <v>View Full Record in Web of Science</v>
      </c>
    </row>
    <row r="132" spans="1:31" ht="20.100000000000001" customHeight="1" x14ac:dyDescent="0.2">
      <c r="A132" t="s">
        <v>2104</v>
      </c>
      <c r="B132" t="s">
        <v>2105</v>
      </c>
      <c r="C132" t="s">
        <v>2106</v>
      </c>
      <c r="D132" t="s">
        <v>2107</v>
      </c>
      <c r="E132" t="s">
        <v>2108</v>
      </c>
      <c r="F132" t="s">
        <v>2109</v>
      </c>
      <c r="G132" t="s">
        <v>2110</v>
      </c>
      <c r="H132" t="s">
        <v>2111</v>
      </c>
      <c r="I132" t="s">
        <v>2112</v>
      </c>
      <c r="J132" t="s">
        <v>2113</v>
      </c>
      <c r="L132" t="s">
        <v>2114</v>
      </c>
      <c r="M132" t="s">
        <v>2115</v>
      </c>
      <c r="N132" t="s">
        <v>2116</v>
      </c>
      <c r="O132" t="s">
        <v>2117</v>
      </c>
      <c r="P132">
        <v>0</v>
      </c>
      <c r="Q132" t="s">
        <v>79</v>
      </c>
      <c r="R132">
        <v>2022</v>
      </c>
      <c r="S132">
        <v>31</v>
      </c>
      <c r="T132">
        <v>4</v>
      </c>
      <c r="U132">
        <v>260</v>
      </c>
      <c r="V132">
        <v>269</v>
      </c>
      <c r="W132" t="s">
        <v>31</v>
      </c>
      <c r="X132" t="s">
        <v>2118</v>
      </c>
      <c r="Y132" t="str">
        <f>HYPERLINK("http://dx.doi.org/10.5607/en22010","http://dx.doi.org/10.5607/en22010")</f>
        <v>http://dx.doi.org/10.5607/en22010</v>
      </c>
      <c r="Z132" t="s">
        <v>31</v>
      </c>
      <c r="AA132" t="s">
        <v>2119</v>
      </c>
      <c r="AB132" t="s">
        <v>2120</v>
      </c>
      <c r="AC132" t="s">
        <v>47</v>
      </c>
      <c r="AD132" t="s">
        <v>2121</v>
      </c>
      <c r="AE132" t="str">
        <f>HYPERLINK("https%3A%2F%2Fwww.webofscience.com%2Fwos%2Fwoscc%2Ffull-record%2FWOS:000862802400004","View Full Record in Web of Science")</f>
        <v>View Full Record in Web of Science</v>
      </c>
    </row>
    <row r="133" spans="1:31" ht="20.100000000000001" customHeight="1" x14ac:dyDescent="0.2">
      <c r="A133" t="s">
        <v>2122</v>
      </c>
      <c r="B133" t="s">
        <v>2123</v>
      </c>
      <c r="C133" t="s">
        <v>2124</v>
      </c>
      <c r="D133" t="s">
        <v>2125</v>
      </c>
      <c r="E133" t="s">
        <v>2126</v>
      </c>
      <c r="F133" t="s">
        <v>2127</v>
      </c>
      <c r="G133" t="s">
        <v>2128</v>
      </c>
      <c r="H133" t="s">
        <v>2129</v>
      </c>
      <c r="I133" t="s">
        <v>2130</v>
      </c>
      <c r="J133" t="s">
        <v>2131</v>
      </c>
      <c r="L133" t="s">
        <v>2132</v>
      </c>
      <c r="M133" t="s">
        <v>31</v>
      </c>
      <c r="N133" t="s">
        <v>31</v>
      </c>
      <c r="O133" t="s">
        <v>31</v>
      </c>
      <c r="P133">
        <v>3</v>
      </c>
      <c r="Q133" t="s">
        <v>79</v>
      </c>
      <c r="R133">
        <v>2022</v>
      </c>
      <c r="S133">
        <v>32</v>
      </c>
      <c r="T133">
        <v>8</v>
      </c>
      <c r="U133">
        <v>989</v>
      </c>
      <c r="V133">
        <v>1002</v>
      </c>
      <c r="W133" t="s">
        <v>31</v>
      </c>
      <c r="X133" t="s">
        <v>2133</v>
      </c>
      <c r="Y133" t="str">
        <f>HYPERLINK("http://dx.doi.org/10.4014/jmb.2206.06043","http://dx.doi.org/10.4014/jmb.2206.06043")</f>
        <v>http://dx.doi.org/10.4014/jmb.2206.06043</v>
      </c>
      <c r="Z133" t="s">
        <v>31</v>
      </c>
      <c r="AA133" t="s">
        <v>2134</v>
      </c>
      <c r="AB133" t="s">
        <v>2134</v>
      </c>
      <c r="AC133" t="s">
        <v>47</v>
      </c>
      <c r="AD133" t="s">
        <v>2135</v>
      </c>
      <c r="AE133" t="str">
        <f>HYPERLINK("https%3A%2F%2Fwww.webofscience.com%2Fwos%2Fwoscc%2Ffull-record%2FWOS:000850082400006","View Full Record in Web of Science")</f>
        <v>View Full Record in Web of Science</v>
      </c>
    </row>
    <row r="134" spans="1:31" ht="20.100000000000001" customHeight="1" x14ac:dyDescent="0.2">
      <c r="A134" t="s">
        <v>2136</v>
      </c>
      <c r="B134" t="s">
        <v>2137</v>
      </c>
      <c r="C134" t="s">
        <v>2138</v>
      </c>
      <c r="D134" t="s">
        <v>2139</v>
      </c>
      <c r="E134" t="s">
        <v>2140</v>
      </c>
      <c r="F134" t="s">
        <v>2141</v>
      </c>
      <c r="G134" t="s">
        <v>2142</v>
      </c>
      <c r="H134" t="s">
        <v>2143</v>
      </c>
      <c r="I134" t="s">
        <v>2144</v>
      </c>
      <c r="J134" t="s">
        <v>2145</v>
      </c>
      <c r="L134" t="s">
        <v>2146</v>
      </c>
      <c r="M134" t="s">
        <v>2147</v>
      </c>
      <c r="N134" t="s">
        <v>2148</v>
      </c>
      <c r="O134" t="s">
        <v>2149</v>
      </c>
      <c r="P134">
        <v>10</v>
      </c>
      <c r="Q134" t="s">
        <v>62</v>
      </c>
      <c r="R134">
        <v>2022</v>
      </c>
      <c r="S134">
        <v>10</v>
      </c>
      <c r="T134">
        <v>11</v>
      </c>
      <c r="U134">
        <v>4049</v>
      </c>
      <c r="V134">
        <v>4058</v>
      </c>
      <c r="W134" t="s">
        <v>31</v>
      </c>
      <c r="X134" t="s">
        <v>2150</v>
      </c>
      <c r="Y134" t="str">
        <f>HYPERLINK("http://dx.doi.org/10.1002/fsn3.3000","http://dx.doi.org/10.1002/fsn3.3000")</f>
        <v>http://dx.doi.org/10.1002/fsn3.3000</v>
      </c>
      <c r="Z134" t="s">
        <v>2151</v>
      </c>
      <c r="AA134" t="s">
        <v>46</v>
      </c>
      <c r="AB134" t="s">
        <v>46</v>
      </c>
      <c r="AC134" t="s">
        <v>47</v>
      </c>
      <c r="AD134" t="s">
        <v>2152</v>
      </c>
      <c r="AE134" t="str">
        <f>HYPERLINK("https%3A%2F%2Fwww.webofscience.com%2Fwos%2Fwoscc%2Ffull-record%2FWOS:000830477200001","View Full Record in Web of Science")</f>
        <v>View Full Record in Web of Science</v>
      </c>
    </row>
    <row r="135" spans="1:31" ht="20.100000000000001" customHeight="1" x14ac:dyDescent="0.2">
      <c r="A135" t="s">
        <v>2153</v>
      </c>
      <c r="B135" t="s">
        <v>2154</v>
      </c>
      <c r="C135" t="s">
        <v>2155</v>
      </c>
      <c r="D135" t="s">
        <v>874</v>
      </c>
      <c r="E135" t="s">
        <v>2156</v>
      </c>
      <c r="F135" t="s">
        <v>2157</v>
      </c>
      <c r="G135" t="s">
        <v>2158</v>
      </c>
      <c r="H135" t="s">
        <v>2159</v>
      </c>
      <c r="I135" t="s">
        <v>2160</v>
      </c>
      <c r="J135" t="s">
        <v>2161</v>
      </c>
      <c r="L135" t="s">
        <v>2162</v>
      </c>
      <c r="M135" t="s">
        <v>2163</v>
      </c>
      <c r="N135" t="s">
        <v>2164</v>
      </c>
      <c r="O135" t="s">
        <v>2165</v>
      </c>
      <c r="P135">
        <v>18</v>
      </c>
      <c r="Q135" t="s">
        <v>718</v>
      </c>
      <c r="R135">
        <v>2022</v>
      </c>
      <c r="S135">
        <v>182</v>
      </c>
      <c r="T135" t="s">
        <v>31</v>
      </c>
      <c r="U135" t="s">
        <v>31</v>
      </c>
      <c r="V135" t="s">
        <v>31</v>
      </c>
      <c r="W135">
        <v>113964</v>
      </c>
      <c r="X135" t="s">
        <v>2166</v>
      </c>
      <c r="Y135" t="str">
        <f>HYPERLINK("http://dx.doi.org/10.1016/j.marpolbul.2022.113964","http://dx.doi.org/10.1016/j.marpolbul.2022.113964")</f>
        <v>http://dx.doi.org/10.1016/j.marpolbul.2022.113964</v>
      </c>
      <c r="Z135" t="s">
        <v>2151</v>
      </c>
      <c r="AA135" t="s">
        <v>885</v>
      </c>
      <c r="AB135" t="s">
        <v>288</v>
      </c>
      <c r="AC135" t="s">
        <v>47</v>
      </c>
      <c r="AD135" t="s">
        <v>2167</v>
      </c>
      <c r="AE135" t="str">
        <f>HYPERLINK("https%3A%2F%2Fwww.webofscience.com%2Fwos%2Fwoscc%2Ffull-record%2FWOS:000854057700011","View Full Record in Web of Science")</f>
        <v>View Full Record in Web of Science</v>
      </c>
    </row>
    <row r="136" spans="1:31" ht="20.100000000000001" customHeight="1" x14ac:dyDescent="0.2">
      <c r="A136" t="s">
        <v>2168</v>
      </c>
      <c r="B136" t="s">
        <v>2169</v>
      </c>
      <c r="C136" t="s">
        <v>2170</v>
      </c>
      <c r="D136" t="s">
        <v>2171</v>
      </c>
      <c r="E136" t="s">
        <v>2172</v>
      </c>
      <c r="F136" t="s">
        <v>2173</v>
      </c>
      <c r="G136" t="s">
        <v>2174</v>
      </c>
      <c r="H136" t="s">
        <v>2175</v>
      </c>
      <c r="I136" t="s">
        <v>2176</v>
      </c>
      <c r="J136" t="s">
        <v>2177</v>
      </c>
      <c r="L136" t="s">
        <v>2178</v>
      </c>
      <c r="M136" t="s">
        <v>2179</v>
      </c>
      <c r="N136" t="s">
        <v>31</v>
      </c>
      <c r="O136" t="s">
        <v>2180</v>
      </c>
      <c r="P136">
        <v>18</v>
      </c>
      <c r="Q136" t="s">
        <v>169</v>
      </c>
      <c r="R136">
        <v>2022</v>
      </c>
      <c r="S136">
        <v>27</v>
      </c>
      <c r="T136">
        <v>6</v>
      </c>
      <c r="U136">
        <v>849</v>
      </c>
      <c r="V136">
        <v>867</v>
      </c>
      <c r="W136" t="s">
        <v>31</v>
      </c>
      <c r="X136" t="s">
        <v>2181</v>
      </c>
      <c r="Y136" t="str">
        <f>HYPERLINK("http://dx.doi.org/10.1007/s11367-022-02072-7","http://dx.doi.org/10.1007/s11367-022-02072-7")</f>
        <v>http://dx.doi.org/10.1007/s11367-022-02072-7</v>
      </c>
      <c r="Z136" t="s">
        <v>2182</v>
      </c>
      <c r="AA136" t="s">
        <v>898</v>
      </c>
      <c r="AB136" t="s">
        <v>899</v>
      </c>
      <c r="AC136" t="s">
        <v>47</v>
      </c>
      <c r="AD136" t="s">
        <v>2183</v>
      </c>
      <c r="AE136" t="str">
        <f>HYPERLINK("https%3A%2F%2Fwww.webofscience.com%2Fwos%2Fwoscc%2Ffull-record%2FWOS:000807982200001","View Full Record in Web of Science")</f>
        <v>View Full Record in Web of Science</v>
      </c>
    </row>
    <row r="137" spans="1:31" ht="20.100000000000001" customHeight="1" x14ac:dyDescent="0.2">
      <c r="A137" t="s">
        <v>2184</v>
      </c>
      <c r="B137" t="s">
        <v>2185</v>
      </c>
      <c r="C137" t="s">
        <v>2186</v>
      </c>
      <c r="D137" t="s">
        <v>2187</v>
      </c>
      <c r="E137" t="s">
        <v>2188</v>
      </c>
      <c r="F137" t="s">
        <v>2189</v>
      </c>
      <c r="G137" t="s">
        <v>2190</v>
      </c>
      <c r="H137" t="s">
        <v>2191</v>
      </c>
      <c r="I137" t="s">
        <v>2192</v>
      </c>
      <c r="J137" t="s">
        <v>2193</v>
      </c>
      <c r="L137" t="s">
        <v>2194</v>
      </c>
      <c r="M137" t="s">
        <v>31</v>
      </c>
      <c r="N137" t="s">
        <v>31</v>
      </c>
      <c r="O137" t="s">
        <v>31</v>
      </c>
      <c r="P137">
        <v>19</v>
      </c>
      <c r="Q137" t="s">
        <v>169</v>
      </c>
      <c r="R137">
        <v>2022</v>
      </c>
      <c r="S137">
        <v>27</v>
      </c>
      <c r="T137">
        <v>12</v>
      </c>
      <c r="U137" t="s">
        <v>31</v>
      </c>
      <c r="V137" t="s">
        <v>31</v>
      </c>
      <c r="W137">
        <v>3864</v>
      </c>
      <c r="X137" t="s">
        <v>2195</v>
      </c>
      <c r="Y137" t="str">
        <f>HYPERLINK("http://dx.doi.org/10.3390/molecules27123864","http://dx.doi.org/10.3390/molecules27123864")</f>
        <v>http://dx.doi.org/10.3390/molecules27123864</v>
      </c>
      <c r="Z137" t="s">
        <v>31</v>
      </c>
      <c r="AA137" t="s">
        <v>503</v>
      </c>
      <c r="AB137" t="s">
        <v>504</v>
      </c>
      <c r="AC137" t="s">
        <v>47</v>
      </c>
      <c r="AD137" t="s">
        <v>2196</v>
      </c>
      <c r="AE137" t="str">
        <f>HYPERLINK("https%3A%2F%2Fwww.webofscience.com%2Fwos%2Fwoscc%2Ffull-record%2FWOS:000815872900001","View Full Record in Web of Science")</f>
        <v>View Full Record in Web of Science</v>
      </c>
    </row>
    <row r="138" spans="1:31" ht="20.100000000000001" customHeight="1" x14ac:dyDescent="0.2">
      <c r="A138" t="s">
        <v>2197</v>
      </c>
      <c r="B138" t="s">
        <v>2198</v>
      </c>
      <c r="C138" t="s">
        <v>2199</v>
      </c>
      <c r="D138" t="s">
        <v>1591</v>
      </c>
      <c r="E138" t="s">
        <v>2200</v>
      </c>
      <c r="F138" t="s">
        <v>31</v>
      </c>
      <c r="G138" t="s">
        <v>2201</v>
      </c>
      <c r="H138" t="s">
        <v>2202</v>
      </c>
      <c r="I138" t="s">
        <v>2203</v>
      </c>
      <c r="J138" t="s">
        <v>2204</v>
      </c>
      <c r="L138" t="s">
        <v>1939</v>
      </c>
      <c r="M138" t="s">
        <v>2205</v>
      </c>
      <c r="N138" t="s">
        <v>2206</v>
      </c>
      <c r="O138" t="s">
        <v>2207</v>
      </c>
      <c r="P138">
        <v>25</v>
      </c>
      <c r="Q138" t="s">
        <v>1636</v>
      </c>
      <c r="R138">
        <v>2022</v>
      </c>
      <c r="S138">
        <v>13</v>
      </c>
      <c r="T138" t="s">
        <v>31</v>
      </c>
      <c r="U138" t="s">
        <v>31</v>
      </c>
      <c r="V138" t="s">
        <v>31</v>
      </c>
      <c r="W138">
        <v>882413</v>
      </c>
      <c r="X138" t="s">
        <v>2208</v>
      </c>
      <c r="Y138" t="str">
        <f>HYPERLINK("http://dx.doi.org/10.3389/fphys.2022.882413","http://dx.doi.org/10.3389/fphys.2022.882413")</f>
        <v>http://dx.doi.org/10.3389/fphys.2022.882413</v>
      </c>
      <c r="Z138" t="s">
        <v>31</v>
      </c>
      <c r="AA138" t="s">
        <v>1592</v>
      </c>
      <c r="AB138" t="s">
        <v>1592</v>
      </c>
      <c r="AC138" t="s">
        <v>47</v>
      </c>
      <c r="AD138" t="s">
        <v>2209</v>
      </c>
      <c r="AE138" t="str">
        <f>HYPERLINK("https%3A%2F%2Fwww.webofscience.com%2Fwos%2Fwoscc%2Ffull-record%2FWOS:000811397500001","View Full Record in Web of Science")</f>
        <v>View Full Record in Web of Science</v>
      </c>
    </row>
    <row r="139" spans="1:31" ht="20.100000000000001" customHeight="1" x14ac:dyDescent="0.2">
      <c r="A139" t="s">
        <v>2210</v>
      </c>
      <c r="B139" t="s">
        <v>2211</v>
      </c>
      <c r="C139" t="s">
        <v>2212</v>
      </c>
      <c r="D139" t="s">
        <v>2213</v>
      </c>
      <c r="E139" t="s">
        <v>2214</v>
      </c>
      <c r="F139" t="s">
        <v>2215</v>
      </c>
      <c r="G139" t="s">
        <v>2216</v>
      </c>
      <c r="H139" t="s">
        <v>2217</v>
      </c>
      <c r="I139" t="s">
        <v>2218</v>
      </c>
      <c r="J139" t="s">
        <v>2219</v>
      </c>
      <c r="L139" t="s">
        <v>2220</v>
      </c>
      <c r="M139" t="s">
        <v>2221</v>
      </c>
      <c r="N139" t="s">
        <v>2222</v>
      </c>
      <c r="O139" t="s">
        <v>2223</v>
      </c>
      <c r="P139">
        <v>13</v>
      </c>
      <c r="Q139" t="s">
        <v>2224</v>
      </c>
      <c r="R139">
        <v>2022</v>
      </c>
      <c r="S139">
        <v>20</v>
      </c>
      <c r="T139">
        <v>1</v>
      </c>
      <c r="U139" t="s">
        <v>31</v>
      </c>
      <c r="V139" t="s">
        <v>31</v>
      </c>
      <c r="W139">
        <v>116</v>
      </c>
      <c r="X139" t="s">
        <v>2225</v>
      </c>
      <c r="Y139" t="str">
        <f>HYPERLINK("http://dx.doi.org/10.1186/s12915-022-01303-5","http://dx.doi.org/10.1186/s12915-022-01303-5")</f>
        <v>http://dx.doi.org/10.1186/s12915-022-01303-5</v>
      </c>
      <c r="Z139" t="s">
        <v>31</v>
      </c>
      <c r="AA139" t="s">
        <v>335</v>
      </c>
      <c r="AB139" t="s">
        <v>336</v>
      </c>
      <c r="AC139" t="s">
        <v>47</v>
      </c>
      <c r="AD139" t="s">
        <v>2226</v>
      </c>
      <c r="AE139" t="str">
        <f>HYPERLINK("https%3A%2F%2Fwww.webofscience.com%2Fwos%2Fwoscc%2Ffull-record%2FWOS:000796994000001","View Full Record in Web of Science")</f>
        <v>View Full Record in Web of Science</v>
      </c>
    </row>
    <row r="140" spans="1:31" ht="20.100000000000001" customHeight="1" x14ac:dyDescent="0.2">
      <c r="A140" t="s">
        <v>2227</v>
      </c>
      <c r="B140" t="s">
        <v>2228</v>
      </c>
      <c r="C140" t="s">
        <v>2229</v>
      </c>
      <c r="D140" t="s">
        <v>951</v>
      </c>
      <c r="E140" t="s">
        <v>2230</v>
      </c>
      <c r="F140" t="s">
        <v>2231</v>
      </c>
      <c r="G140" t="s">
        <v>2232</v>
      </c>
      <c r="H140" t="s">
        <v>2233</v>
      </c>
      <c r="I140" t="s">
        <v>2234</v>
      </c>
      <c r="J140" t="s">
        <v>2235</v>
      </c>
      <c r="L140" t="s">
        <v>2236</v>
      </c>
      <c r="M140" t="s">
        <v>2237</v>
      </c>
      <c r="N140" t="s">
        <v>2238</v>
      </c>
      <c r="O140" t="s">
        <v>2239</v>
      </c>
      <c r="P140">
        <v>4</v>
      </c>
      <c r="Q140" t="s">
        <v>2240</v>
      </c>
      <c r="R140">
        <v>2022</v>
      </c>
      <c r="S140">
        <v>556</v>
      </c>
      <c r="T140" t="s">
        <v>31</v>
      </c>
      <c r="U140" t="s">
        <v>31</v>
      </c>
      <c r="V140" t="s">
        <v>31</v>
      </c>
      <c r="W140">
        <v>738293</v>
      </c>
      <c r="X140" t="s">
        <v>2241</v>
      </c>
      <c r="Y140" t="str">
        <f>HYPERLINK("http://dx.doi.org/10.1016/j.aquaculture.2022.738293","http://dx.doi.org/10.1016/j.aquaculture.2022.738293")</f>
        <v>http://dx.doi.org/10.1016/j.aquaculture.2022.738293</v>
      </c>
      <c r="Z140" t="s">
        <v>2242</v>
      </c>
      <c r="AA140" t="s">
        <v>537</v>
      </c>
      <c r="AB140" t="s">
        <v>537</v>
      </c>
      <c r="AC140" t="s">
        <v>47</v>
      </c>
      <c r="AD140" t="s">
        <v>2243</v>
      </c>
      <c r="AE140" t="str">
        <f>HYPERLINK("https%3A%2F%2Fwww.webofscience.com%2Fwos%2Fwoscc%2Ffull-record%2FWOS:000804190800005","View Full Record in Web of Science")</f>
        <v>View Full Record in Web of Science</v>
      </c>
    </row>
    <row r="141" spans="1:31" ht="20.100000000000001" customHeight="1" x14ac:dyDescent="0.2">
      <c r="A141" t="s">
        <v>2244</v>
      </c>
      <c r="B141" t="s">
        <v>2245</v>
      </c>
      <c r="C141" t="s">
        <v>2246</v>
      </c>
      <c r="D141" t="s">
        <v>2247</v>
      </c>
      <c r="E141" t="s">
        <v>2248</v>
      </c>
      <c r="F141" t="s">
        <v>2249</v>
      </c>
      <c r="G141" t="s">
        <v>2250</v>
      </c>
      <c r="H141" t="s">
        <v>2251</v>
      </c>
      <c r="I141" t="s">
        <v>2252</v>
      </c>
      <c r="J141" t="s">
        <v>2253</v>
      </c>
      <c r="L141" t="s">
        <v>2254</v>
      </c>
      <c r="M141" t="s">
        <v>2255</v>
      </c>
      <c r="N141" t="s">
        <v>2256</v>
      </c>
      <c r="O141" t="s">
        <v>2257</v>
      </c>
      <c r="P141">
        <v>5</v>
      </c>
      <c r="Q141" t="s">
        <v>216</v>
      </c>
      <c r="R141">
        <v>2022</v>
      </c>
      <c r="S141">
        <v>64</v>
      </c>
      <c r="T141">
        <v>2</v>
      </c>
      <c r="U141">
        <v>287</v>
      </c>
      <c r="V141">
        <v>299</v>
      </c>
      <c r="W141" t="s">
        <v>31</v>
      </c>
      <c r="X141" t="s">
        <v>2258</v>
      </c>
      <c r="Y141" t="str">
        <f>HYPERLINK("http://dx.doi.org/10.4002/040.064.0210","http://dx.doi.org/10.4002/040.064.0210")</f>
        <v>http://dx.doi.org/10.4002/040.064.0210</v>
      </c>
      <c r="Z141" t="s">
        <v>31</v>
      </c>
      <c r="AA141" t="s">
        <v>450</v>
      </c>
      <c r="AB141" t="s">
        <v>450</v>
      </c>
      <c r="AC141" t="s">
        <v>47</v>
      </c>
      <c r="AD141" t="s">
        <v>2259</v>
      </c>
      <c r="AE141" t="str">
        <f>HYPERLINK("https%3A%2F%2Fwww.webofscience.com%2Fwos%2Fwoscc%2Ffull-record%2FWOS:000803649700010","View Full Record in Web of Science")</f>
        <v>View Full Record in Web of Science</v>
      </c>
    </row>
    <row r="142" spans="1:31" ht="20.100000000000001" customHeight="1" x14ac:dyDescent="0.2">
      <c r="A142" t="s">
        <v>2260</v>
      </c>
      <c r="B142" t="s">
        <v>2261</v>
      </c>
      <c r="C142" t="s">
        <v>2262</v>
      </c>
      <c r="D142" t="s">
        <v>743</v>
      </c>
      <c r="E142" t="s">
        <v>2263</v>
      </c>
      <c r="F142" t="s">
        <v>2264</v>
      </c>
      <c r="G142" t="s">
        <v>2265</v>
      </c>
      <c r="H142" t="s">
        <v>2266</v>
      </c>
      <c r="I142" t="s">
        <v>2112</v>
      </c>
      <c r="J142" t="s">
        <v>2267</v>
      </c>
      <c r="L142" t="s">
        <v>2268</v>
      </c>
      <c r="M142" t="s">
        <v>2269</v>
      </c>
      <c r="N142" t="s">
        <v>2270</v>
      </c>
      <c r="O142" t="s">
        <v>2271</v>
      </c>
      <c r="P142">
        <v>1</v>
      </c>
      <c r="Q142" t="s">
        <v>216</v>
      </c>
      <c r="R142">
        <v>2022</v>
      </c>
      <c r="S142">
        <v>20</v>
      </c>
      <c r="T142">
        <v>5</v>
      </c>
      <c r="U142" t="s">
        <v>31</v>
      </c>
      <c r="V142" t="s">
        <v>31</v>
      </c>
      <c r="W142">
        <v>328</v>
      </c>
      <c r="X142" t="s">
        <v>2272</v>
      </c>
      <c r="Y142" t="str">
        <f>HYPERLINK("http://dx.doi.org/10.3390/md20050328","http://dx.doi.org/10.3390/md20050328")</f>
        <v>http://dx.doi.org/10.3390/md20050328</v>
      </c>
      <c r="Z142" t="s">
        <v>31</v>
      </c>
      <c r="AA142" t="s">
        <v>754</v>
      </c>
      <c r="AB142" t="s">
        <v>755</v>
      </c>
      <c r="AC142" t="s">
        <v>47</v>
      </c>
      <c r="AD142" t="s">
        <v>2273</v>
      </c>
      <c r="AE142" t="str">
        <f>HYPERLINK("https%3A%2F%2Fwww.webofscience.com%2Fwos%2Fwoscc%2Ffull-record%2FWOS:000801375000001","View Full Record in Web of Science")</f>
        <v>View Full Record in Web of Science</v>
      </c>
    </row>
    <row r="143" spans="1:31" ht="20.100000000000001" customHeight="1" x14ac:dyDescent="0.2">
      <c r="A143" t="s">
        <v>2274</v>
      </c>
      <c r="B143" t="s">
        <v>2275</v>
      </c>
      <c r="C143" t="s">
        <v>2276</v>
      </c>
      <c r="D143" t="s">
        <v>34</v>
      </c>
      <c r="E143" t="s">
        <v>2277</v>
      </c>
      <c r="F143" t="s">
        <v>2278</v>
      </c>
      <c r="G143" t="s">
        <v>2279</v>
      </c>
      <c r="H143" t="s">
        <v>2280</v>
      </c>
      <c r="I143" t="s">
        <v>2281</v>
      </c>
      <c r="J143" t="s">
        <v>2282</v>
      </c>
      <c r="L143" t="s">
        <v>2283</v>
      </c>
      <c r="M143" t="s">
        <v>31</v>
      </c>
      <c r="N143" t="s">
        <v>31</v>
      </c>
      <c r="O143" t="s">
        <v>31</v>
      </c>
      <c r="P143">
        <v>23</v>
      </c>
      <c r="Q143" t="s">
        <v>79</v>
      </c>
      <c r="R143">
        <v>2022</v>
      </c>
      <c r="S143">
        <v>138</v>
      </c>
      <c r="T143" t="s">
        <v>31</v>
      </c>
      <c r="U143" t="s">
        <v>31</v>
      </c>
      <c r="V143" t="s">
        <v>31</v>
      </c>
      <c r="W143">
        <v>109052</v>
      </c>
      <c r="X143" t="s">
        <v>2284</v>
      </c>
      <c r="Y143" t="str">
        <f>HYPERLINK("http://dx.doi.org/10.1016/j.foodcont.2022.109052","http://dx.doi.org/10.1016/j.foodcont.2022.109052")</f>
        <v>http://dx.doi.org/10.1016/j.foodcont.2022.109052</v>
      </c>
      <c r="Z143" t="s">
        <v>2285</v>
      </c>
      <c r="AA143" t="s">
        <v>46</v>
      </c>
      <c r="AB143" t="s">
        <v>46</v>
      </c>
      <c r="AC143" t="s">
        <v>47</v>
      </c>
      <c r="AD143" t="s">
        <v>2286</v>
      </c>
      <c r="AE143" t="str">
        <f>HYPERLINK("https%3A%2F%2Fwww.webofscience.com%2Fwos%2Fwoscc%2Ffull-record%2FWOS:000797185800003","View Full Record in Web of Science")</f>
        <v>View Full Record in Web of Science</v>
      </c>
    </row>
    <row r="144" spans="1:31" ht="20.100000000000001" customHeight="1" x14ac:dyDescent="0.2">
      <c r="A144" t="s">
        <v>2287</v>
      </c>
      <c r="B144" t="s">
        <v>2288</v>
      </c>
      <c r="C144" t="s">
        <v>2289</v>
      </c>
      <c r="D144" t="s">
        <v>436</v>
      </c>
      <c r="E144" t="s">
        <v>2290</v>
      </c>
      <c r="F144" t="s">
        <v>2291</v>
      </c>
      <c r="G144" t="s">
        <v>2292</v>
      </c>
      <c r="H144" t="s">
        <v>2293</v>
      </c>
      <c r="I144" t="s">
        <v>529</v>
      </c>
      <c r="J144" t="s">
        <v>2294</v>
      </c>
      <c r="L144" t="s">
        <v>443</v>
      </c>
      <c r="M144" t="s">
        <v>2295</v>
      </c>
      <c r="N144" t="s">
        <v>2296</v>
      </c>
      <c r="O144" t="s">
        <v>2297</v>
      </c>
      <c r="P144">
        <v>7</v>
      </c>
      <c r="Q144" t="s">
        <v>169</v>
      </c>
      <c r="R144">
        <v>2022</v>
      </c>
      <c r="S144">
        <v>191</v>
      </c>
      <c r="T144" t="s">
        <v>31</v>
      </c>
      <c r="U144" t="s">
        <v>31</v>
      </c>
      <c r="V144" t="s">
        <v>31</v>
      </c>
      <c r="W144">
        <v>107754</v>
      </c>
      <c r="X144" t="s">
        <v>2298</v>
      </c>
      <c r="Y144" t="str">
        <f>HYPERLINK("http://dx.doi.org/10.1016/j.jip.2022.107754","http://dx.doi.org/10.1016/j.jip.2022.107754")</f>
        <v>http://dx.doi.org/10.1016/j.jip.2022.107754</v>
      </c>
      <c r="Z144" t="s">
        <v>2285</v>
      </c>
      <c r="AA144" t="s">
        <v>450</v>
      </c>
      <c r="AB144" t="s">
        <v>450</v>
      </c>
      <c r="AC144" t="s">
        <v>47</v>
      </c>
      <c r="AD144" t="s">
        <v>2299</v>
      </c>
      <c r="AE144" t="str">
        <f>HYPERLINK("https%3A%2F%2Fwww.webofscience.com%2Fwos%2Fwoscc%2Ffull-record%2FWOS:000795749800002","View Full Record in Web of Science")</f>
        <v>View Full Record in Web of Science</v>
      </c>
    </row>
    <row r="145" spans="1:31" ht="20.100000000000001" customHeight="1" x14ac:dyDescent="0.2">
      <c r="A145" t="s">
        <v>2300</v>
      </c>
      <c r="B145" t="s">
        <v>2301</v>
      </c>
      <c r="C145" t="s">
        <v>2302</v>
      </c>
      <c r="D145" t="s">
        <v>2061</v>
      </c>
      <c r="E145" t="s">
        <v>2303</v>
      </c>
      <c r="F145" t="s">
        <v>2304</v>
      </c>
      <c r="G145" t="s">
        <v>2305</v>
      </c>
      <c r="H145" t="s">
        <v>2306</v>
      </c>
      <c r="I145" t="s">
        <v>2307</v>
      </c>
      <c r="J145" t="s">
        <v>2308</v>
      </c>
      <c r="L145" t="s">
        <v>1823</v>
      </c>
      <c r="M145" t="s">
        <v>2309</v>
      </c>
      <c r="N145" t="s">
        <v>2310</v>
      </c>
      <c r="O145" t="s">
        <v>2311</v>
      </c>
      <c r="P145">
        <v>16</v>
      </c>
      <c r="Q145" t="s">
        <v>169</v>
      </c>
      <c r="R145">
        <v>2022</v>
      </c>
      <c r="S145">
        <v>109</v>
      </c>
      <c r="T145" t="s">
        <v>31</v>
      </c>
      <c r="U145" t="s">
        <v>31</v>
      </c>
      <c r="V145" t="s">
        <v>31</v>
      </c>
      <c r="W145">
        <v>104479</v>
      </c>
      <c r="X145" t="s">
        <v>2312</v>
      </c>
      <c r="Y145" t="str">
        <f>HYPERLINK("http://dx.doi.org/10.1016/j.jfca.2022.104479","http://dx.doi.org/10.1016/j.jfca.2022.104479")</f>
        <v>http://dx.doi.org/10.1016/j.jfca.2022.104479</v>
      </c>
      <c r="Z145" t="s">
        <v>2313</v>
      </c>
      <c r="AA145" t="s">
        <v>2074</v>
      </c>
      <c r="AB145" t="s">
        <v>2075</v>
      </c>
      <c r="AC145" t="s">
        <v>47</v>
      </c>
      <c r="AD145" t="s">
        <v>2314</v>
      </c>
      <c r="AE145" t="str">
        <f>HYPERLINK("https%3A%2F%2Fwww.webofscience.com%2Fwos%2Fwoscc%2Ffull-record%2FWOS:000790436000011","View Full Record in Web of Science")</f>
        <v>View Full Record in Web of Science</v>
      </c>
    </row>
    <row r="146" spans="1:31" ht="20.100000000000001" customHeight="1" x14ac:dyDescent="0.2">
      <c r="A146" t="s">
        <v>2315</v>
      </c>
      <c r="B146" t="s">
        <v>2316</v>
      </c>
      <c r="C146" t="s">
        <v>2317</v>
      </c>
      <c r="D146" t="s">
        <v>2318</v>
      </c>
      <c r="E146" t="s">
        <v>2319</v>
      </c>
      <c r="F146" t="s">
        <v>2320</v>
      </c>
      <c r="G146" t="s">
        <v>2321</v>
      </c>
      <c r="H146" t="s">
        <v>2322</v>
      </c>
      <c r="I146" t="s">
        <v>2323</v>
      </c>
      <c r="J146" t="s">
        <v>2324</v>
      </c>
      <c r="L146" t="s">
        <v>2325</v>
      </c>
      <c r="M146" t="s">
        <v>2326</v>
      </c>
      <c r="N146" t="s">
        <v>2327</v>
      </c>
      <c r="O146" t="s">
        <v>2328</v>
      </c>
      <c r="P146">
        <v>13</v>
      </c>
      <c r="Q146" t="s">
        <v>1750</v>
      </c>
      <c r="R146">
        <v>2022</v>
      </c>
      <c r="S146">
        <v>31</v>
      </c>
      <c r="T146">
        <v>4</v>
      </c>
      <c r="U146">
        <v>497</v>
      </c>
      <c r="V146">
        <v>504</v>
      </c>
      <c r="W146" t="s">
        <v>31</v>
      </c>
      <c r="X146" t="s">
        <v>2329</v>
      </c>
      <c r="Y146" t="str">
        <f>HYPERLINK("http://dx.doi.org/10.1007/s10068-022-01051-w","http://dx.doi.org/10.1007/s10068-022-01051-w")</f>
        <v>http://dx.doi.org/10.1007/s10068-022-01051-w</v>
      </c>
      <c r="Z146" t="s">
        <v>2313</v>
      </c>
      <c r="AA146" t="s">
        <v>46</v>
      </c>
      <c r="AB146" t="s">
        <v>46</v>
      </c>
      <c r="AC146" t="s">
        <v>47</v>
      </c>
      <c r="AD146" t="s">
        <v>2330</v>
      </c>
      <c r="AE146" t="str">
        <f>HYPERLINK("https%3A%2F%2Fwww.webofscience.com%2Fwos%2Fwoscc%2Ffull-record%2FWOS:000764914400001","View Full Record in Web of Science")</f>
        <v>View Full Record in Web of Science</v>
      </c>
    </row>
    <row r="147" spans="1:31" ht="20.100000000000001" customHeight="1" x14ac:dyDescent="0.2">
      <c r="A147" t="s">
        <v>2331</v>
      </c>
      <c r="B147" t="s">
        <v>2332</v>
      </c>
      <c r="C147" t="s">
        <v>2333</v>
      </c>
      <c r="D147" t="s">
        <v>542</v>
      </c>
      <c r="E147" t="s">
        <v>2334</v>
      </c>
      <c r="F147" t="s">
        <v>2335</v>
      </c>
      <c r="G147" t="s">
        <v>2336</v>
      </c>
      <c r="H147" t="s">
        <v>2337</v>
      </c>
      <c r="I147" t="s">
        <v>2338</v>
      </c>
      <c r="J147" t="s">
        <v>2339</v>
      </c>
      <c r="L147" t="s">
        <v>2340</v>
      </c>
      <c r="M147" t="s">
        <v>2341</v>
      </c>
      <c r="N147" t="s">
        <v>2342</v>
      </c>
      <c r="O147" t="s">
        <v>2343</v>
      </c>
      <c r="P147">
        <v>9</v>
      </c>
      <c r="Q147" t="s">
        <v>1420</v>
      </c>
      <c r="R147">
        <v>2022</v>
      </c>
      <c r="S147">
        <v>9</v>
      </c>
      <c r="T147" t="s">
        <v>31</v>
      </c>
      <c r="U147" t="s">
        <v>31</v>
      </c>
      <c r="V147" t="s">
        <v>31</v>
      </c>
      <c r="W147">
        <v>805209</v>
      </c>
      <c r="X147" t="s">
        <v>2344</v>
      </c>
      <c r="Y147" t="str">
        <f>HYPERLINK("http://dx.doi.org/10.3389/fmars.2022.805209","http://dx.doi.org/10.3389/fmars.2022.805209")</f>
        <v>http://dx.doi.org/10.3389/fmars.2022.805209</v>
      </c>
      <c r="Z147" t="s">
        <v>31</v>
      </c>
      <c r="AA147" t="s">
        <v>554</v>
      </c>
      <c r="AB147" t="s">
        <v>555</v>
      </c>
      <c r="AC147" t="s">
        <v>47</v>
      </c>
      <c r="AD147" t="s">
        <v>2345</v>
      </c>
      <c r="AE147" t="str">
        <f>HYPERLINK("https%3A%2F%2Fwww.webofscience.com%2Fwos%2Fwoscc%2Ffull-record%2FWOS:000797783000001","View Full Record in Web of Science")</f>
        <v>View Full Record in Web of Science</v>
      </c>
    </row>
    <row r="148" spans="1:31" ht="20.100000000000001" customHeight="1" x14ac:dyDescent="0.2">
      <c r="A148" t="s">
        <v>2346</v>
      </c>
      <c r="B148" t="s">
        <v>2347</v>
      </c>
      <c r="C148" t="s">
        <v>2348</v>
      </c>
      <c r="D148" t="s">
        <v>2042</v>
      </c>
      <c r="E148" t="s">
        <v>2349</v>
      </c>
      <c r="F148" t="s">
        <v>2350</v>
      </c>
      <c r="G148" t="s">
        <v>2351</v>
      </c>
      <c r="H148" t="s">
        <v>2352</v>
      </c>
      <c r="I148" t="s">
        <v>2353</v>
      </c>
      <c r="J148" t="s">
        <v>2354</v>
      </c>
      <c r="L148" t="s">
        <v>2355</v>
      </c>
      <c r="M148" t="s">
        <v>2356</v>
      </c>
      <c r="N148" t="s">
        <v>2357</v>
      </c>
      <c r="O148" t="s">
        <v>2358</v>
      </c>
      <c r="P148">
        <v>22</v>
      </c>
      <c r="Q148" t="s">
        <v>269</v>
      </c>
      <c r="R148">
        <v>2022</v>
      </c>
      <c r="S148">
        <v>225</v>
      </c>
      <c r="T148">
        <v>6</v>
      </c>
      <c r="U148" t="s">
        <v>31</v>
      </c>
      <c r="V148" t="s">
        <v>31</v>
      </c>
      <c r="W148" t="s">
        <v>2359</v>
      </c>
      <c r="X148" t="s">
        <v>2360</v>
      </c>
      <c r="Y148" t="str">
        <f>HYPERLINK("http://dx.doi.org/10.1242/jeb.243163","http://dx.doi.org/10.1242/jeb.243163")</f>
        <v>http://dx.doi.org/10.1242/jeb.243163</v>
      </c>
      <c r="Z148" t="s">
        <v>31</v>
      </c>
      <c r="AA148" t="s">
        <v>2055</v>
      </c>
      <c r="AB148" t="s">
        <v>2056</v>
      </c>
      <c r="AC148" t="s">
        <v>47</v>
      </c>
      <c r="AD148" t="s">
        <v>2361</v>
      </c>
      <c r="AE148" t="str">
        <f>HYPERLINK("https%3A%2F%2Fwww.webofscience.com%2Fwos%2Fwoscc%2Ffull-record%2FWOS:000777476400007","View Full Record in Web of Science")</f>
        <v>View Full Record in Web of Science</v>
      </c>
    </row>
    <row r="149" spans="1:31" ht="20.100000000000001" customHeight="1" x14ac:dyDescent="0.2">
      <c r="A149" t="s">
        <v>1767</v>
      </c>
      <c r="B149" t="s">
        <v>1768</v>
      </c>
      <c r="C149" t="s">
        <v>2362</v>
      </c>
      <c r="D149" t="s">
        <v>124</v>
      </c>
      <c r="E149" t="s">
        <v>2363</v>
      </c>
      <c r="F149" t="s">
        <v>2364</v>
      </c>
      <c r="G149" t="s">
        <v>2365</v>
      </c>
      <c r="H149" t="s">
        <v>2366</v>
      </c>
      <c r="I149" t="s">
        <v>2367</v>
      </c>
      <c r="J149" t="s">
        <v>2368</v>
      </c>
      <c r="L149" t="s">
        <v>1776</v>
      </c>
      <c r="M149" t="s">
        <v>2369</v>
      </c>
      <c r="N149" t="s">
        <v>2370</v>
      </c>
      <c r="O149" t="s">
        <v>2371</v>
      </c>
      <c r="P149">
        <v>5</v>
      </c>
      <c r="Q149" t="s">
        <v>269</v>
      </c>
      <c r="R149">
        <v>2022</v>
      </c>
      <c r="S149">
        <v>11</v>
      </c>
      <c r="T149">
        <v>6</v>
      </c>
      <c r="U149" t="s">
        <v>31</v>
      </c>
      <c r="V149" t="s">
        <v>31</v>
      </c>
      <c r="W149">
        <v>791</v>
      </c>
      <c r="X149" t="s">
        <v>2372</v>
      </c>
      <c r="Y149" t="str">
        <f>HYPERLINK("http://dx.doi.org/10.3390/foods11060791","http://dx.doi.org/10.3390/foods11060791")</f>
        <v>http://dx.doi.org/10.3390/foods11060791</v>
      </c>
      <c r="Z149" t="s">
        <v>31</v>
      </c>
      <c r="AA149" t="s">
        <v>46</v>
      </c>
      <c r="AB149" t="s">
        <v>46</v>
      </c>
      <c r="AC149" t="s">
        <v>47</v>
      </c>
      <c r="AD149" t="s">
        <v>2373</v>
      </c>
      <c r="AE149" t="str">
        <f>HYPERLINK("https%3A%2F%2Fwww.webofscience.com%2Fwos%2Fwoscc%2Ffull-record%2FWOS:000775458300001","View Full Record in Web of Science")</f>
        <v>View Full Record in Web of Science</v>
      </c>
    </row>
    <row r="150" spans="1:31" ht="20.100000000000001" customHeight="1" x14ac:dyDescent="0.2">
      <c r="A150" t="s">
        <v>2374</v>
      </c>
      <c r="B150" t="s">
        <v>2375</v>
      </c>
      <c r="C150" t="s">
        <v>2376</v>
      </c>
      <c r="D150" t="s">
        <v>2377</v>
      </c>
      <c r="E150" t="s">
        <v>2378</v>
      </c>
      <c r="F150" t="s">
        <v>2379</v>
      </c>
      <c r="G150" t="s">
        <v>2380</v>
      </c>
      <c r="H150" t="s">
        <v>2381</v>
      </c>
      <c r="I150" t="s">
        <v>2382</v>
      </c>
      <c r="J150" t="s">
        <v>2383</v>
      </c>
      <c r="L150" t="s">
        <v>2384</v>
      </c>
      <c r="M150" t="s">
        <v>2385</v>
      </c>
      <c r="N150" t="s">
        <v>2386</v>
      </c>
      <c r="O150" t="s">
        <v>2387</v>
      </c>
      <c r="P150">
        <v>22</v>
      </c>
      <c r="Q150" t="s">
        <v>882</v>
      </c>
      <c r="R150">
        <v>2022</v>
      </c>
      <c r="S150">
        <v>210</v>
      </c>
      <c r="T150" t="s">
        <v>31</v>
      </c>
      <c r="U150" t="s">
        <v>31</v>
      </c>
      <c r="V150" t="s">
        <v>31</v>
      </c>
      <c r="W150">
        <v>112961</v>
      </c>
      <c r="X150" t="s">
        <v>2388</v>
      </c>
      <c r="Y150" t="str">
        <f>HYPERLINK("http://dx.doi.org/10.1016/j.envres.2022.112961","http://dx.doi.org/10.1016/j.envres.2022.112961")</f>
        <v>http://dx.doi.org/10.1016/j.envres.2022.112961</v>
      </c>
      <c r="Z150" t="s">
        <v>2389</v>
      </c>
      <c r="AA150" t="s">
        <v>2390</v>
      </c>
      <c r="AB150" t="s">
        <v>2391</v>
      </c>
      <c r="AC150" t="s">
        <v>47</v>
      </c>
      <c r="AD150" t="s">
        <v>2392</v>
      </c>
      <c r="AE150" t="str">
        <f>HYPERLINK("https%3A%2F%2Fwww.webofscience.com%2Fwos%2Fwoscc%2Ffull-record%2FWOS:000820127500008","View Full Record in Web of Science")</f>
        <v>View Full Record in Web of Science</v>
      </c>
    </row>
    <row r="151" spans="1:31" ht="20.100000000000001" customHeight="1" x14ac:dyDescent="0.2">
      <c r="A151" t="s">
        <v>2393</v>
      </c>
      <c r="B151" t="s">
        <v>2394</v>
      </c>
      <c r="C151" t="s">
        <v>2395</v>
      </c>
      <c r="D151" t="s">
        <v>542</v>
      </c>
      <c r="E151" t="s">
        <v>2396</v>
      </c>
      <c r="F151" t="s">
        <v>2397</v>
      </c>
      <c r="G151" t="s">
        <v>2398</v>
      </c>
      <c r="H151" t="s">
        <v>2399</v>
      </c>
      <c r="I151" t="s">
        <v>2400</v>
      </c>
      <c r="J151" t="s">
        <v>2401</v>
      </c>
      <c r="L151" t="s">
        <v>1761</v>
      </c>
      <c r="M151" t="s">
        <v>2402</v>
      </c>
      <c r="N151" t="s">
        <v>2403</v>
      </c>
      <c r="O151" t="s">
        <v>2404</v>
      </c>
      <c r="P151">
        <v>7</v>
      </c>
      <c r="Q151" t="s">
        <v>2405</v>
      </c>
      <c r="R151">
        <v>2022</v>
      </c>
      <c r="S151">
        <v>8</v>
      </c>
      <c r="T151" t="s">
        <v>31</v>
      </c>
      <c r="U151" t="s">
        <v>31</v>
      </c>
      <c r="V151" t="s">
        <v>31</v>
      </c>
      <c r="W151">
        <v>817701</v>
      </c>
      <c r="X151" t="s">
        <v>2406</v>
      </c>
      <c r="Y151" t="str">
        <f>HYPERLINK("http://dx.doi.org/10.3389/fmars.2021.817701","http://dx.doi.org/10.3389/fmars.2021.817701")</f>
        <v>http://dx.doi.org/10.3389/fmars.2021.817701</v>
      </c>
      <c r="Z151" t="s">
        <v>31</v>
      </c>
      <c r="AA151" t="s">
        <v>554</v>
      </c>
      <c r="AB151" t="s">
        <v>555</v>
      </c>
      <c r="AC151" t="s">
        <v>47</v>
      </c>
      <c r="AD151" t="s">
        <v>2407</v>
      </c>
      <c r="AE151" t="str">
        <f>HYPERLINK("https%3A%2F%2Fwww.webofscience.com%2Fwos%2Fwoscc%2Ffull-record%2FWOS:000771798200001","View Full Record in Web of Science")</f>
        <v>View Full Record in Web of Science</v>
      </c>
    </row>
    <row r="152" spans="1:31" ht="20.100000000000001" customHeight="1" x14ac:dyDescent="0.2">
      <c r="A152" t="s">
        <v>2408</v>
      </c>
      <c r="B152" t="s">
        <v>2409</v>
      </c>
      <c r="C152" t="s">
        <v>2410</v>
      </c>
      <c r="D152" t="s">
        <v>2411</v>
      </c>
      <c r="E152" t="s">
        <v>2412</v>
      </c>
      <c r="F152" t="s">
        <v>2413</v>
      </c>
      <c r="G152" t="s">
        <v>2414</v>
      </c>
      <c r="H152" t="s">
        <v>2415</v>
      </c>
      <c r="I152" t="s">
        <v>2416</v>
      </c>
      <c r="J152" t="s">
        <v>2417</v>
      </c>
      <c r="L152" t="s">
        <v>2418</v>
      </c>
      <c r="M152" t="s">
        <v>2419</v>
      </c>
      <c r="N152" t="s">
        <v>2420</v>
      </c>
      <c r="O152" t="s">
        <v>2421</v>
      </c>
      <c r="P152">
        <v>8</v>
      </c>
      <c r="Q152" t="s">
        <v>216</v>
      </c>
      <c r="R152">
        <v>2022</v>
      </c>
      <c r="S152">
        <v>283</v>
      </c>
      <c r="T152">
        <v>5</v>
      </c>
      <c r="U152">
        <v>557</v>
      </c>
      <c r="V152">
        <v>584</v>
      </c>
      <c r="W152" t="s">
        <v>31</v>
      </c>
      <c r="X152" t="s">
        <v>2422</v>
      </c>
      <c r="Y152" t="str">
        <f>HYPERLINK("http://dx.doi.org/10.1002/jmor.21459","http://dx.doi.org/10.1002/jmor.21459")</f>
        <v>http://dx.doi.org/10.1002/jmor.21459</v>
      </c>
      <c r="Z152" t="s">
        <v>2389</v>
      </c>
      <c r="AA152" t="s">
        <v>2423</v>
      </c>
      <c r="AB152" t="s">
        <v>2423</v>
      </c>
      <c r="AC152" t="s">
        <v>47</v>
      </c>
      <c r="AD152" t="s">
        <v>2424</v>
      </c>
      <c r="AE152" t="str">
        <f>HYPERLINK("https%3A%2F%2Fwww.webofscience.com%2Fwos%2Fwoscc%2Ffull-record%2FWOS:000752521800001","View Full Record in Web of Science")</f>
        <v>View Full Record in Web of Science</v>
      </c>
    </row>
    <row r="153" spans="1:31" ht="20.100000000000001" customHeight="1" x14ac:dyDescent="0.2">
      <c r="A153" t="s">
        <v>2425</v>
      </c>
      <c r="B153" t="s">
        <v>2426</v>
      </c>
      <c r="C153" t="s">
        <v>2427</v>
      </c>
      <c r="D153" t="s">
        <v>542</v>
      </c>
      <c r="E153" t="s">
        <v>2428</v>
      </c>
      <c r="F153" t="s">
        <v>2429</v>
      </c>
      <c r="G153" t="s">
        <v>2430</v>
      </c>
      <c r="H153" t="s">
        <v>2431</v>
      </c>
      <c r="I153" t="s">
        <v>2432</v>
      </c>
      <c r="J153" t="s">
        <v>2433</v>
      </c>
      <c r="L153" t="s">
        <v>2434</v>
      </c>
      <c r="M153" t="s">
        <v>31</v>
      </c>
      <c r="N153" t="s">
        <v>31</v>
      </c>
      <c r="O153" t="s">
        <v>31</v>
      </c>
      <c r="P153">
        <v>61</v>
      </c>
      <c r="Q153" t="s">
        <v>2435</v>
      </c>
      <c r="R153">
        <v>2022</v>
      </c>
      <c r="S153">
        <v>8</v>
      </c>
      <c r="T153" t="s">
        <v>31</v>
      </c>
      <c r="U153" t="s">
        <v>31</v>
      </c>
      <c r="V153" t="s">
        <v>31</v>
      </c>
      <c r="W153">
        <v>770805</v>
      </c>
      <c r="X153" t="s">
        <v>2436</v>
      </c>
      <c r="Y153" t="str">
        <f>HYPERLINK("http://dx.doi.org/10.3389/fmars.2021.770805","http://dx.doi.org/10.3389/fmars.2021.770805")</f>
        <v>http://dx.doi.org/10.3389/fmars.2021.770805</v>
      </c>
      <c r="Z153" t="s">
        <v>31</v>
      </c>
      <c r="AA153" t="s">
        <v>554</v>
      </c>
      <c r="AB153" t="s">
        <v>555</v>
      </c>
      <c r="AC153" t="s">
        <v>47</v>
      </c>
      <c r="AD153" t="s">
        <v>2437</v>
      </c>
      <c r="AE153" t="str">
        <f>HYPERLINK("https%3A%2F%2Fwww.webofscience.com%2Fwos%2Fwoscc%2Ffull-record%2FWOS:000760666000001","View Full Record in Web of Science")</f>
        <v>View Full Record in Web of Science</v>
      </c>
    </row>
    <row r="154" spans="1:31" ht="20.100000000000001" customHeight="1" x14ac:dyDescent="0.2">
      <c r="A154" t="s">
        <v>2438</v>
      </c>
      <c r="B154" t="s">
        <v>2439</v>
      </c>
      <c r="C154" t="s">
        <v>2440</v>
      </c>
      <c r="D154" t="s">
        <v>2441</v>
      </c>
      <c r="E154" t="s">
        <v>2442</v>
      </c>
      <c r="F154" t="s">
        <v>2443</v>
      </c>
      <c r="G154" t="s">
        <v>2444</v>
      </c>
      <c r="H154" t="s">
        <v>2445</v>
      </c>
      <c r="I154" t="s">
        <v>2446</v>
      </c>
      <c r="J154" t="s">
        <v>2447</v>
      </c>
      <c r="L154" t="s">
        <v>2448</v>
      </c>
      <c r="M154" t="s">
        <v>2449</v>
      </c>
      <c r="N154" t="s">
        <v>2450</v>
      </c>
      <c r="O154" t="s">
        <v>2451</v>
      </c>
      <c r="P154">
        <v>6</v>
      </c>
      <c r="Q154" t="s">
        <v>2452</v>
      </c>
      <c r="R154">
        <v>2022</v>
      </c>
      <c r="S154">
        <v>10</v>
      </c>
      <c r="T154" t="s">
        <v>31</v>
      </c>
      <c r="U154" t="s">
        <v>31</v>
      </c>
      <c r="V154" t="s">
        <v>31</v>
      </c>
      <c r="W154">
        <v>814746</v>
      </c>
      <c r="X154" t="s">
        <v>2453</v>
      </c>
      <c r="Y154" t="str">
        <f>HYPERLINK("http://dx.doi.org/10.3389/fcell.2022.814746","http://dx.doi.org/10.3389/fcell.2022.814746")</f>
        <v>http://dx.doi.org/10.3389/fcell.2022.814746</v>
      </c>
      <c r="Z154" t="s">
        <v>31</v>
      </c>
      <c r="AA154" t="s">
        <v>2454</v>
      </c>
      <c r="AB154" t="s">
        <v>2454</v>
      </c>
      <c r="AC154" t="s">
        <v>47</v>
      </c>
      <c r="AD154" t="s">
        <v>2455</v>
      </c>
      <c r="AE154" t="str">
        <f>HYPERLINK("https%3A%2F%2Fwww.webofscience.com%2Fwos%2Fwoscc%2Ffull-record%2FWOS:000760239100001","View Full Record in Web of Science")</f>
        <v>View Full Record in Web of Science</v>
      </c>
    </row>
    <row r="155" spans="1:31" ht="20.100000000000001" customHeight="1" x14ac:dyDescent="0.2">
      <c r="A155" t="s">
        <v>2456</v>
      </c>
      <c r="B155" t="s">
        <v>2457</v>
      </c>
      <c r="C155" t="s">
        <v>2458</v>
      </c>
      <c r="D155" t="s">
        <v>2187</v>
      </c>
      <c r="E155" t="s">
        <v>2459</v>
      </c>
      <c r="F155" t="s">
        <v>2460</v>
      </c>
      <c r="G155" t="s">
        <v>2461</v>
      </c>
      <c r="H155" t="s">
        <v>2462</v>
      </c>
      <c r="I155" t="s">
        <v>956</v>
      </c>
      <c r="J155" t="s">
        <v>2463</v>
      </c>
      <c r="L155" t="s">
        <v>2464</v>
      </c>
      <c r="M155" t="s">
        <v>2465</v>
      </c>
      <c r="N155" t="s">
        <v>2466</v>
      </c>
      <c r="O155" t="s">
        <v>2467</v>
      </c>
      <c r="P155">
        <v>14</v>
      </c>
      <c r="Q155" t="s">
        <v>447</v>
      </c>
      <c r="R155">
        <v>2022</v>
      </c>
      <c r="S155">
        <v>27</v>
      </c>
      <c r="T155">
        <v>3</v>
      </c>
      <c r="U155" t="s">
        <v>31</v>
      </c>
      <c r="V155" t="s">
        <v>31</v>
      </c>
      <c r="W155">
        <v>739</v>
      </c>
      <c r="X155" t="s">
        <v>2468</v>
      </c>
      <c r="Y155" t="str">
        <f>HYPERLINK("http://dx.doi.org/10.3390/molecules27030739","http://dx.doi.org/10.3390/molecules27030739")</f>
        <v>http://dx.doi.org/10.3390/molecules27030739</v>
      </c>
      <c r="Z155" t="s">
        <v>31</v>
      </c>
      <c r="AA155" t="s">
        <v>503</v>
      </c>
      <c r="AB155" t="s">
        <v>504</v>
      </c>
      <c r="AC155" t="s">
        <v>47</v>
      </c>
      <c r="AD155" t="s">
        <v>2469</v>
      </c>
      <c r="AE155" t="str">
        <f>HYPERLINK("https%3A%2F%2Fwww.webofscience.com%2Fwos%2Fwoscc%2Ffull-record%2FWOS:000760864400001","View Full Record in Web of Science")</f>
        <v>View Full Record in Web of Science</v>
      </c>
    </row>
    <row r="156" spans="1:31" ht="20.100000000000001" customHeight="1" x14ac:dyDescent="0.2">
      <c r="A156" t="s">
        <v>2470</v>
      </c>
      <c r="B156" t="s">
        <v>2471</v>
      </c>
      <c r="C156" t="s">
        <v>2472</v>
      </c>
      <c r="D156" t="s">
        <v>2473</v>
      </c>
      <c r="E156" t="s">
        <v>31</v>
      </c>
      <c r="F156" t="s">
        <v>2474</v>
      </c>
      <c r="G156" t="s">
        <v>2475</v>
      </c>
      <c r="H156" t="s">
        <v>2476</v>
      </c>
      <c r="I156" t="s">
        <v>2477</v>
      </c>
      <c r="J156" t="s">
        <v>2478</v>
      </c>
      <c r="L156" t="s">
        <v>2479</v>
      </c>
      <c r="M156" t="s">
        <v>2480</v>
      </c>
      <c r="N156" t="s">
        <v>2481</v>
      </c>
      <c r="O156" t="s">
        <v>2482</v>
      </c>
      <c r="P156">
        <v>32</v>
      </c>
      <c r="Q156" t="s">
        <v>2483</v>
      </c>
      <c r="R156">
        <v>2022</v>
      </c>
      <c r="S156">
        <v>32</v>
      </c>
      <c r="T156">
        <v>1</v>
      </c>
      <c r="U156">
        <v>97</v>
      </c>
      <c r="V156" t="s">
        <v>2484</v>
      </c>
      <c r="W156" t="s">
        <v>31</v>
      </c>
      <c r="X156" t="s">
        <v>2485</v>
      </c>
      <c r="Y156" t="str">
        <f>HYPERLINK("http://dx.doi.org/10.1016/j.cub.2021.10.070","http://dx.doi.org/10.1016/j.cub.2021.10.070")</f>
        <v>http://dx.doi.org/10.1016/j.cub.2021.10.070</v>
      </c>
      <c r="Z156" t="s">
        <v>2486</v>
      </c>
      <c r="AA156" t="s">
        <v>2487</v>
      </c>
      <c r="AB156" t="s">
        <v>2488</v>
      </c>
      <c r="AC156" t="s">
        <v>47</v>
      </c>
      <c r="AD156" t="s">
        <v>2489</v>
      </c>
      <c r="AE156" t="str">
        <f>HYPERLINK("https%3A%2F%2Fwww.webofscience.com%2Fwos%2Fwoscc%2Ffull-record%2FWOS:000743814700009","View Full Record in Web of Science")</f>
        <v>View Full Record in Web of Science</v>
      </c>
    </row>
    <row r="157" spans="1:31" ht="20.100000000000001" customHeight="1" x14ac:dyDescent="0.2">
      <c r="A157" t="s">
        <v>2490</v>
      </c>
      <c r="B157" t="s">
        <v>2491</v>
      </c>
      <c r="C157" t="s">
        <v>2492</v>
      </c>
      <c r="D157" t="s">
        <v>951</v>
      </c>
      <c r="E157" t="s">
        <v>2493</v>
      </c>
      <c r="F157" t="s">
        <v>2494</v>
      </c>
      <c r="G157" t="s">
        <v>2495</v>
      </c>
      <c r="H157" t="s">
        <v>2496</v>
      </c>
      <c r="I157" t="s">
        <v>2497</v>
      </c>
      <c r="J157" t="s">
        <v>2498</v>
      </c>
      <c r="L157" t="s">
        <v>2499</v>
      </c>
      <c r="M157" t="s">
        <v>31</v>
      </c>
      <c r="N157" t="s">
        <v>31</v>
      </c>
      <c r="O157" t="s">
        <v>31</v>
      </c>
      <c r="P157">
        <v>11</v>
      </c>
      <c r="Q157" t="s">
        <v>1001</v>
      </c>
      <c r="R157">
        <v>2022</v>
      </c>
      <c r="S157">
        <v>550</v>
      </c>
      <c r="T157" t="s">
        <v>31</v>
      </c>
      <c r="U157" t="s">
        <v>31</v>
      </c>
      <c r="V157" t="s">
        <v>31</v>
      </c>
      <c r="W157">
        <v>737859</v>
      </c>
      <c r="X157" t="s">
        <v>2500</v>
      </c>
      <c r="Y157" t="str">
        <f>HYPERLINK("http://dx.doi.org/10.1016/j.aquaculture.2021.737859","http://dx.doi.org/10.1016/j.aquaculture.2021.737859")</f>
        <v>http://dx.doi.org/10.1016/j.aquaculture.2021.737859</v>
      </c>
      <c r="Z157" t="s">
        <v>2486</v>
      </c>
      <c r="AA157" t="s">
        <v>537</v>
      </c>
      <c r="AB157" t="s">
        <v>537</v>
      </c>
      <c r="AC157" t="s">
        <v>47</v>
      </c>
      <c r="AD157" t="s">
        <v>2501</v>
      </c>
      <c r="AE157" t="str">
        <f>HYPERLINK("https%3A%2F%2Fwww.webofscience.com%2Fwos%2Fwoscc%2Ffull-record%2FWOS:000765383400004","View Full Record in Web of Science")</f>
        <v>View Full Record in Web of Science</v>
      </c>
    </row>
    <row r="158" spans="1:31" ht="20.100000000000001" customHeight="1" x14ac:dyDescent="0.2">
      <c r="A158" t="s">
        <v>2502</v>
      </c>
      <c r="B158" t="s">
        <v>2503</v>
      </c>
      <c r="C158" t="s">
        <v>2504</v>
      </c>
      <c r="D158" t="s">
        <v>2505</v>
      </c>
      <c r="E158" t="s">
        <v>2506</v>
      </c>
      <c r="F158" t="s">
        <v>2507</v>
      </c>
      <c r="G158" t="s">
        <v>2508</v>
      </c>
      <c r="H158" t="s">
        <v>2509</v>
      </c>
      <c r="I158" t="s">
        <v>2510</v>
      </c>
      <c r="J158" t="s">
        <v>2511</v>
      </c>
      <c r="L158" t="s">
        <v>2512</v>
      </c>
      <c r="M158" t="s">
        <v>2513</v>
      </c>
      <c r="N158" t="s">
        <v>2514</v>
      </c>
      <c r="O158" t="s">
        <v>2515</v>
      </c>
      <c r="P158">
        <v>4</v>
      </c>
      <c r="Q158" t="s">
        <v>31</v>
      </c>
      <c r="R158">
        <v>2022</v>
      </c>
      <c r="S158">
        <v>42</v>
      </c>
      <c r="T158" t="s">
        <v>31</v>
      </c>
      <c r="U158" t="s">
        <v>31</v>
      </c>
      <c r="V158" t="s">
        <v>31</v>
      </c>
      <c r="W158" t="s">
        <v>2516</v>
      </c>
      <c r="X158" t="s">
        <v>2517</v>
      </c>
      <c r="Y158" t="str">
        <f>HYPERLINK("http://dx.doi.org/10.1590/fst.56520","http://dx.doi.org/10.1590/fst.56520")</f>
        <v>http://dx.doi.org/10.1590/fst.56520</v>
      </c>
      <c r="Z158" t="s">
        <v>31</v>
      </c>
      <c r="AA158" t="s">
        <v>46</v>
      </c>
      <c r="AB158" t="s">
        <v>46</v>
      </c>
      <c r="AC158" t="s">
        <v>47</v>
      </c>
      <c r="AD158" t="s">
        <v>2518</v>
      </c>
      <c r="AE158" t="str">
        <f>HYPERLINK("https%3A%2F%2Fwww.webofscience.com%2Fwos%2Fwoscc%2Ffull-record%2FWOS:000818587000009","View Full Record in Web of Science")</f>
        <v>View Full Record in Web of Science</v>
      </c>
    </row>
    <row r="159" spans="1:31" ht="20.100000000000001" customHeight="1" x14ac:dyDescent="0.2">
      <c r="A159" t="s">
        <v>2519</v>
      </c>
      <c r="B159" t="s">
        <v>2520</v>
      </c>
      <c r="C159" t="s">
        <v>2521</v>
      </c>
      <c r="D159" t="s">
        <v>2505</v>
      </c>
      <c r="E159" t="s">
        <v>2522</v>
      </c>
      <c r="F159" t="s">
        <v>2523</v>
      </c>
      <c r="G159" t="s">
        <v>2524</v>
      </c>
      <c r="H159" t="s">
        <v>2525</v>
      </c>
      <c r="I159" t="s">
        <v>2526</v>
      </c>
      <c r="J159" t="s">
        <v>2511</v>
      </c>
      <c r="L159" t="s">
        <v>2527</v>
      </c>
      <c r="M159" t="s">
        <v>2528</v>
      </c>
      <c r="N159" t="s">
        <v>2529</v>
      </c>
      <c r="O159" t="s">
        <v>2530</v>
      </c>
      <c r="P159">
        <v>2</v>
      </c>
      <c r="Q159" t="s">
        <v>31</v>
      </c>
      <c r="R159">
        <v>2022</v>
      </c>
      <c r="S159">
        <v>42</v>
      </c>
      <c r="T159" t="s">
        <v>31</v>
      </c>
      <c r="U159" t="s">
        <v>31</v>
      </c>
      <c r="V159" t="s">
        <v>31</v>
      </c>
      <c r="W159" t="s">
        <v>2531</v>
      </c>
      <c r="X159" t="s">
        <v>2532</v>
      </c>
      <c r="Y159" t="str">
        <f>HYPERLINK("http://dx.doi.org/10.1590/fst.18221","http://dx.doi.org/10.1590/fst.18221")</f>
        <v>http://dx.doi.org/10.1590/fst.18221</v>
      </c>
      <c r="Z159" t="s">
        <v>31</v>
      </c>
      <c r="AA159" t="s">
        <v>46</v>
      </c>
      <c r="AB159" t="s">
        <v>46</v>
      </c>
      <c r="AC159" t="s">
        <v>47</v>
      </c>
      <c r="AD159" t="s">
        <v>2533</v>
      </c>
      <c r="AE159" t="str">
        <f>HYPERLINK("https%3A%2F%2Fwww.webofscience.com%2Fwos%2Fwoscc%2Ffull-record%2FWOS:000767939500060","View Full Record in Web of Science")</f>
        <v>View Full Record in Web of Science</v>
      </c>
    </row>
    <row r="160" spans="1:31" ht="20.100000000000001" customHeight="1" x14ac:dyDescent="0.2">
      <c r="A160" t="s">
        <v>2534</v>
      </c>
      <c r="B160" t="s">
        <v>2535</v>
      </c>
      <c r="C160" t="s">
        <v>2536</v>
      </c>
      <c r="D160" t="s">
        <v>2537</v>
      </c>
      <c r="E160" t="s">
        <v>2538</v>
      </c>
      <c r="F160" t="s">
        <v>2539</v>
      </c>
      <c r="G160" t="s">
        <v>2540</v>
      </c>
      <c r="H160" t="s">
        <v>2541</v>
      </c>
      <c r="I160" t="s">
        <v>995</v>
      </c>
      <c r="J160" t="s">
        <v>1522</v>
      </c>
      <c r="L160" t="s">
        <v>1523</v>
      </c>
      <c r="M160" t="s">
        <v>2542</v>
      </c>
      <c r="N160" t="s">
        <v>2543</v>
      </c>
      <c r="O160" t="s">
        <v>2544</v>
      </c>
      <c r="P160">
        <v>10</v>
      </c>
      <c r="Q160" t="s">
        <v>269</v>
      </c>
      <c r="R160">
        <v>2022</v>
      </c>
      <c r="S160">
        <v>141</v>
      </c>
      <c r="T160">
        <v>1</v>
      </c>
      <c r="U160" t="s">
        <v>31</v>
      </c>
      <c r="V160" t="s">
        <v>31</v>
      </c>
      <c r="W160" t="s">
        <v>2545</v>
      </c>
      <c r="X160" t="s">
        <v>2546</v>
      </c>
      <c r="Y160" t="str">
        <f>HYPERLINK("http://dx.doi.org/10.1111/ivb.12358","http://dx.doi.org/10.1111/ivb.12358")</f>
        <v>http://dx.doi.org/10.1111/ivb.12358</v>
      </c>
      <c r="Z160" t="s">
        <v>2547</v>
      </c>
      <c r="AA160" t="s">
        <v>2548</v>
      </c>
      <c r="AB160" t="s">
        <v>2548</v>
      </c>
      <c r="AC160" t="s">
        <v>47</v>
      </c>
      <c r="AD160" t="s">
        <v>2549</v>
      </c>
      <c r="AE160" t="str">
        <f>HYPERLINK("https%3A%2F%2Fwww.webofscience.com%2Fwos%2Fwoscc%2Ffull-record%2FWOS:000732972700001","View Full Record in Web of Science")</f>
        <v>View Full Record in Web of Science</v>
      </c>
    </row>
    <row r="161" spans="1:31" ht="20.100000000000001" customHeight="1" x14ac:dyDescent="0.2">
      <c r="A161" t="s">
        <v>2550</v>
      </c>
      <c r="B161" t="s">
        <v>2551</v>
      </c>
      <c r="C161" t="s">
        <v>2552</v>
      </c>
      <c r="D161" t="s">
        <v>2553</v>
      </c>
      <c r="E161" t="s">
        <v>2554</v>
      </c>
      <c r="F161" t="s">
        <v>2555</v>
      </c>
      <c r="G161" t="s">
        <v>2556</v>
      </c>
      <c r="H161" t="s">
        <v>2557</v>
      </c>
      <c r="I161" t="s">
        <v>2558</v>
      </c>
      <c r="J161" t="s">
        <v>2559</v>
      </c>
      <c r="L161" t="s">
        <v>2560</v>
      </c>
      <c r="M161" t="s">
        <v>31</v>
      </c>
      <c r="N161" t="s">
        <v>31</v>
      </c>
      <c r="O161" t="s">
        <v>31</v>
      </c>
      <c r="P161">
        <v>2</v>
      </c>
      <c r="Q161" t="s">
        <v>452</v>
      </c>
      <c r="R161">
        <v>2021</v>
      </c>
      <c r="S161">
        <v>56</v>
      </c>
      <c r="T161">
        <v>4</v>
      </c>
      <c r="U161">
        <v>199</v>
      </c>
      <c r="V161">
        <v>204</v>
      </c>
      <c r="W161" t="s">
        <v>31</v>
      </c>
      <c r="X161" t="s">
        <v>31</v>
      </c>
      <c r="Y161" t="s">
        <v>31</v>
      </c>
      <c r="Z161" t="s">
        <v>31</v>
      </c>
      <c r="AA161" t="s">
        <v>2561</v>
      </c>
      <c r="AB161" t="s">
        <v>2561</v>
      </c>
      <c r="AC161" t="s">
        <v>47</v>
      </c>
      <c r="AD161" t="s">
        <v>2562</v>
      </c>
      <c r="AE161" t="str">
        <f>HYPERLINK("https%3A%2F%2Fwww.webofscience.com%2Fwos%2Fwoscc%2Ffull-record%2FWOS:000778215600006","View Full Record in Web of Science")</f>
        <v>View Full Record in Web of Science</v>
      </c>
    </row>
    <row r="162" spans="1:31" ht="20.100000000000001" customHeight="1" x14ac:dyDescent="0.2">
      <c r="A162" t="s">
        <v>2563</v>
      </c>
      <c r="B162" t="s">
        <v>2564</v>
      </c>
      <c r="C162" t="s">
        <v>2565</v>
      </c>
      <c r="D162" t="s">
        <v>2566</v>
      </c>
      <c r="E162" t="s">
        <v>31</v>
      </c>
      <c r="F162" t="s">
        <v>31</v>
      </c>
      <c r="G162" t="s">
        <v>2567</v>
      </c>
      <c r="H162" t="s">
        <v>2568</v>
      </c>
      <c r="I162" t="s">
        <v>2569</v>
      </c>
      <c r="J162" t="s">
        <v>2570</v>
      </c>
      <c r="L162" t="s">
        <v>2571</v>
      </c>
      <c r="M162" t="s">
        <v>2572</v>
      </c>
      <c r="N162" t="s">
        <v>2573</v>
      </c>
      <c r="O162" t="s">
        <v>2574</v>
      </c>
      <c r="P162">
        <v>3</v>
      </c>
      <c r="Q162" t="s">
        <v>452</v>
      </c>
      <c r="R162">
        <v>2021</v>
      </c>
      <c r="S162">
        <v>10</v>
      </c>
      <c r="T162">
        <v>49</v>
      </c>
      <c r="U162" t="s">
        <v>31</v>
      </c>
      <c r="V162" t="s">
        <v>31</v>
      </c>
      <c r="W162" t="s">
        <v>2575</v>
      </c>
      <c r="X162" t="s">
        <v>2576</v>
      </c>
      <c r="Y162" t="str">
        <f>HYPERLINK("http://dx.doi.org/10.1128/MRA.00792-21","http://dx.doi.org/10.1128/MRA.00792-21")</f>
        <v>http://dx.doi.org/10.1128/MRA.00792-21</v>
      </c>
      <c r="Z162" t="s">
        <v>31</v>
      </c>
      <c r="AA162" t="s">
        <v>202</v>
      </c>
      <c r="AB162" t="s">
        <v>202</v>
      </c>
      <c r="AC162" t="s">
        <v>47</v>
      </c>
      <c r="AD162" t="s">
        <v>2577</v>
      </c>
      <c r="AE162" t="str">
        <f>HYPERLINK("https%3A%2F%2Fwww.webofscience.com%2Fwos%2Fwoscc%2Ffull-record%2FWOS:000731029700004","View Full Record in Web of Science")</f>
        <v>View Full Record in Web of Science</v>
      </c>
    </row>
    <row r="163" spans="1:31" ht="20.100000000000001" customHeight="1" x14ac:dyDescent="0.2">
      <c r="A163" t="s">
        <v>2578</v>
      </c>
      <c r="B163" t="s">
        <v>2579</v>
      </c>
      <c r="C163" t="s">
        <v>2580</v>
      </c>
      <c r="D163" t="s">
        <v>2581</v>
      </c>
      <c r="E163" t="s">
        <v>31</v>
      </c>
      <c r="F163" t="s">
        <v>2582</v>
      </c>
      <c r="G163" t="s">
        <v>2583</v>
      </c>
      <c r="H163" t="s">
        <v>2584</v>
      </c>
      <c r="I163" t="s">
        <v>31</v>
      </c>
      <c r="J163" t="s">
        <v>2585</v>
      </c>
      <c r="L163" t="s">
        <v>2586</v>
      </c>
      <c r="M163" t="s">
        <v>31</v>
      </c>
      <c r="N163" t="s">
        <v>31</v>
      </c>
      <c r="O163" t="s">
        <v>31</v>
      </c>
      <c r="P163">
        <v>3</v>
      </c>
      <c r="Q163" t="s">
        <v>452</v>
      </c>
      <c r="R163">
        <v>2021</v>
      </c>
      <c r="S163">
        <v>87</v>
      </c>
      <c r="T163" t="s">
        <v>31</v>
      </c>
      <c r="U163" t="s">
        <v>31</v>
      </c>
      <c r="V163" t="s">
        <v>31</v>
      </c>
      <c r="W163" t="s">
        <v>2587</v>
      </c>
      <c r="X163" t="s">
        <v>2588</v>
      </c>
      <c r="Y163" t="str">
        <f>HYPERLINK("http://dx.doi.org/10.1093/mollus/eyab039","http://dx.doi.org/10.1093/mollus/eyab039")</f>
        <v>http://dx.doi.org/10.1093/mollus/eyab039</v>
      </c>
      <c r="Z163" t="s">
        <v>31</v>
      </c>
      <c r="AA163" t="s">
        <v>2548</v>
      </c>
      <c r="AB163" t="s">
        <v>2548</v>
      </c>
      <c r="AC163" t="s">
        <v>47</v>
      </c>
      <c r="AD163" t="s">
        <v>2589</v>
      </c>
      <c r="AE163" t="str">
        <f>HYPERLINK("https%3A%2F%2Fwww.webofscience.com%2Fwos%2Fwoscc%2Ffull-record%2FWOS:000790597600007","View Full Record in Web of Science")</f>
        <v>View Full Record in Web of Science</v>
      </c>
    </row>
    <row r="164" spans="1:31" ht="20.100000000000001" customHeight="1" x14ac:dyDescent="0.2">
      <c r="A164" t="s">
        <v>2590</v>
      </c>
      <c r="B164" t="s">
        <v>2591</v>
      </c>
      <c r="C164" t="s">
        <v>2592</v>
      </c>
      <c r="D164" t="s">
        <v>874</v>
      </c>
      <c r="E164" t="s">
        <v>2593</v>
      </c>
      <c r="F164" t="s">
        <v>2594</v>
      </c>
      <c r="G164" t="s">
        <v>2595</v>
      </c>
      <c r="H164" t="s">
        <v>2596</v>
      </c>
      <c r="I164" t="s">
        <v>2597</v>
      </c>
      <c r="J164" t="s">
        <v>2598</v>
      </c>
      <c r="L164" t="s">
        <v>2599</v>
      </c>
      <c r="M164" t="s">
        <v>31</v>
      </c>
      <c r="N164" t="s">
        <v>31</v>
      </c>
      <c r="O164" t="s">
        <v>31</v>
      </c>
      <c r="P164">
        <v>34</v>
      </c>
      <c r="Q164" t="s">
        <v>44</v>
      </c>
      <c r="R164">
        <v>2022</v>
      </c>
      <c r="S164">
        <v>174</v>
      </c>
      <c r="T164" t="s">
        <v>31</v>
      </c>
      <c r="U164" t="s">
        <v>31</v>
      </c>
      <c r="V164" t="s">
        <v>31</v>
      </c>
      <c r="W164">
        <v>113185</v>
      </c>
      <c r="X164" t="s">
        <v>2600</v>
      </c>
      <c r="Y164" t="str">
        <f>HYPERLINK("http://dx.doi.org/10.1016/j.marpolbul.2021.113185","http://dx.doi.org/10.1016/j.marpolbul.2021.113185")</f>
        <v>http://dx.doi.org/10.1016/j.marpolbul.2021.113185</v>
      </c>
      <c r="Z164" t="s">
        <v>2601</v>
      </c>
      <c r="AA164" t="s">
        <v>885</v>
      </c>
      <c r="AB164" t="s">
        <v>288</v>
      </c>
      <c r="AC164" t="s">
        <v>47</v>
      </c>
      <c r="AD164" t="s">
        <v>2602</v>
      </c>
      <c r="AE164" t="str">
        <f>HYPERLINK("https%3A%2F%2Fwww.webofscience.com%2Fwos%2Fwoscc%2Ffull-record%2FWOS:000737260800010","View Full Record in Web of Science")</f>
        <v>View Full Record in Web of Science</v>
      </c>
    </row>
    <row r="165" spans="1:31" ht="20.100000000000001" customHeight="1" x14ac:dyDescent="0.2">
      <c r="A165" t="s">
        <v>2603</v>
      </c>
      <c r="B165" t="s">
        <v>2604</v>
      </c>
      <c r="C165" t="s">
        <v>2605</v>
      </c>
      <c r="D165" t="s">
        <v>542</v>
      </c>
      <c r="E165" t="s">
        <v>2606</v>
      </c>
      <c r="F165" t="s">
        <v>2607</v>
      </c>
      <c r="G165" t="s">
        <v>2608</v>
      </c>
      <c r="H165" t="s">
        <v>2609</v>
      </c>
      <c r="I165" t="s">
        <v>2610</v>
      </c>
      <c r="J165" t="s">
        <v>2611</v>
      </c>
      <c r="L165" t="s">
        <v>2612</v>
      </c>
      <c r="M165" t="s">
        <v>2613</v>
      </c>
      <c r="N165" t="s">
        <v>2614</v>
      </c>
      <c r="O165" t="s">
        <v>2615</v>
      </c>
      <c r="P165">
        <v>20</v>
      </c>
      <c r="Q165" t="s">
        <v>2616</v>
      </c>
      <c r="R165">
        <v>2021</v>
      </c>
      <c r="S165">
        <v>8</v>
      </c>
      <c r="T165" t="s">
        <v>31</v>
      </c>
      <c r="U165" t="s">
        <v>31</v>
      </c>
      <c r="V165" t="s">
        <v>31</v>
      </c>
      <c r="W165">
        <v>584657</v>
      </c>
      <c r="X165" t="s">
        <v>2617</v>
      </c>
      <c r="Y165" t="str">
        <f>HYPERLINK("http://dx.doi.org/10.3389/fmars.2021.584657","http://dx.doi.org/10.3389/fmars.2021.584657")</f>
        <v>http://dx.doi.org/10.3389/fmars.2021.584657</v>
      </c>
      <c r="Z165" t="s">
        <v>31</v>
      </c>
      <c r="AA165" t="s">
        <v>554</v>
      </c>
      <c r="AB165" t="s">
        <v>555</v>
      </c>
      <c r="AC165" t="s">
        <v>47</v>
      </c>
      <c r="AD165" t="s">
        <v>2618</v>
      </c>
      <c r="AE165" t="str">
        <f>HYPERLINK("https%3A%2F%2Fwww.webofscience.com%2Fwos%2Fwoscc%2Ffull-record%2FWOS:000729157400001","View Full Record in Web of Science")</f>
        <v>View Full Record in Web of Science</v>
      </c>
    </row>
    <row r="166" spans="1:31" ht="20.100000000000001" customHeight="1" x14ac:dyDescent="0.2">
      <c r="A166" t="s">
        <v>2619</v>
      </c>
      <c r="B166" t="s">
        <v>2620</v>
      </c>
      <c r="C166" t="s">
        <v>2621</v>
      </c>
      <c r="D166" t="s">
        <v>421</v>
      </c>
      <c r="E166" t="s">
        <v>2622</v>
      </c>
      <c r="F166" t="s">
        <v>2623</v>
      </c>
      <c r="G166" t="s">
        <v>2624</v>
      </c>
      <c r="H166" t="s">
        <v>2625</v>
      </c>
      <c r="I166" t="s">
        <v>2626</v>
      </c>
      <c r="J166" t="s">
        <v>2627</v>
      </c>
      <c r="L166" t="s">
        <v>2628</v>
      </c>
      <c r="M166" t="s">
        <v>2629</v>
      </c>
      <c r="N166" t="s">
        <v>2629</v>
      </c>
      <c r="O166" t="s">
        <v>2630</v>
      </c>
      <c r="P166">
        <v>0</v>
      </c>
      <c r="Q166" t="s">
        <v>1750</v>
      </c>
      <c r="R166">
        <v>2022</v>
      </c>
      <c r="S166">
        <v>38</v>
      </c>
      <c r="T166">
        <v>1</v>
      </c>
      <c r="U166">
        <v>631</v>
      </c>
      <c r="V166">
        <v>637</v>
      </c>
      <c r="W166" t="s">
        <v>31</v>
      </c>
      <c r="X166" t="s">
        <v>2631</v>
      </c>
      <c r="Y166" t="str">
        <f>HYPERLINK("http://dx.doi.org/10.1007/s41208-021-00373-6","http://dx.doi.org/10.1007/s41208-021-00373-6")</f>
        <v>http://dx.doi.org/10.1007/s41208-021-00373-6</v>
      </c>
      <c r="Z166" t="s">
        <v>2601</v>
      </c>
      <c r="AA166" t="s">
        <v>431</v>
      </c>
      <c r="AB166" t="s">
        <v>431</v>
      </c>
      <c r="AC166" t="s">
        <v>47</v>
      </c>
      <c r="AD166" t="s">
        <v>2632</v>
      </c>
      <c r="AE166" t="str">
        <f>HYPERLINK("https%3A%2F%2Fwww.webofscience.com%2Fwos%2Fwoscc%2Ffull-record%2FWOS:000720201300001","View Full Record in Web of Science")</f>
        <v>View Full Record in Web of Science</v>
      </c>
    </row>
    <row r="167" spans="1:31" ht="20.100000000000001" customHeight="1" x14ac:dyDescent="0.2">
      <c r="A167" t="s">
        <v>2633</v>
      </c>
      <c r="B167" t="s">
        <v>2634</v>
      </c>
      <c r="C167" t="s">
        <v>2635</v>
      </c>
      <c r="D167" t="s">
        <v>2636</v>
      </c>
      <c r="E167" t="s">
        <v>2637</v>
      </c>
      <c r="F167" t="s">
        <v>2638</v>
      </c>
      <c r="G167" t="s">
        <v>2639</v>
      </c>
      <c r="H167" t="s">
        <v>2640</v>
      </c>
      <c r="I167" t="s">
        <v>2641</v>
      </c>
      <c r="J167" t="s">
        <v>2642</v>
      </c>
      <c r="L167" t="s">
        <v>2643</v>
      </c>
      <c r="M167" t="s">
        <v>2644</v>
      </c>
      <c r="N167" t="s">
        <v>2645</v>
      </c>
      <c r="O167" t="s">
        <v>2646</v>
      </c>
      <c r="P167">
        <v>14</v>
      </c>
      <c r="Q167" t="s">
        <v>2647</v>
      </c>
      <c r="R167">
        <v>2021</v>
      </c>
      <c r="S167">
        <v>5061</v>
      </c>
      <c r="T167">
        <v>1</v>
      </c>
      <c r="U167">
        <v>145</v>
      </c>
      <c r="V167">
        <v>156</v>
      </c>
      <c r="W167" t="s">
        <v>31</v>
      </c>
      <c r="X167" t="s">
        <v>2648</v>
      </c>
      <c r="Y167" t="str">
        <f>HYPERLINK("http://dx.doi.org/10.11646/zootaxa.5061.1.7","http://dx.doi.org/10.11646/zootaxa.5061.1.7")</f>
        <v>http://dx.doi.org/10.11646/zootaxa.5061.1.7</v>
      </c>
      <c r="Z167" t="s">
        <v>31</v>
      </c>
      <c r="AA167" t="s">
        <v>450</v>
      </c>
      <c r="AB167" t="s">
        <v>450</v>
      </c>
      <c r="AC167" t="s">
        <v>47</v>
      </c>
      <c r="AD167" t="s">
        <v>2649</v>
      </c>
      <c r="AE167" t="str">
        <f>HYPERLINK("https%3A%2F%2Fwww.webofscience.com%2Fwos%2Fwoscc%2Ffull-record%2FWOS:000717552800001","View Full Record in Web of Science")</f>
        <v>View Full Record in Web of Science</v>
      </c>
    </row>
    <row r="168" spans="1:31" ht="20.100000000000001" customHeight="1" x14ac:dyDescent="0.2">
      <c r="A168" t="s">
        <v>2650</v>
      </c>
      <c r="B168" t="s">
        <v>2651</v>
      </c>
      <c r="C168" t="s">
        <v>2652</v>
      </c>
      <c r="D168" t="s">
        <v>2653</v>
      </c>
      <c r="E168" t="s">
        <v>2654</v>
      </c>
      <c r="F168" t="s">
        <v>2655</v>
      </c>
      <c r="G168" t="s">
        <v>2656</v>
      </c>
      <c r="H168" t="s">
        <v>2657</v>
      </c>
      <c r="I168" t="s">
        <v>2658</v>
      </c>
      <c r="J168" t="s">
        <v>2659</v>
      </c>
      <c r="L168" t="s">
        <v>2660</v>
      </c>
      <c r="M168" t="s">
        <v>2661</v>
      </c>
      <c r="N168" t="s">
        <v>2661</v>
      </c>
      <c r="O168" t="s">
        <v>2662</v>
      </c>
      <c r="P168">
        <v>36</v>
      </c>
      <c r="Q168" t="s">
        <v>62</v>
      </c>
      <c r="R168">
        <v>2021</v>
      </c>
      <c r="S168">
        <v>12</v>
      </c>
      <c r="T168">
        <v>11</v>
      </c>
      <c r="U168" t="s">
        <v>31</v>
      </c>
      <c r="V168" t="s">
        <v>31</v>
      </c>
      <c r="W168">
        <v>1007</v>
      </c>
      <c r="X168" t="s">
        <v>2663</v>
      </c>
      <c r="Y168" t="str">
        <f>HYPERLINK("http://dx.doi.org/10.3390/insects12111007","http://dx.doi.org/10.3390/insects12111007")</f>
        <v>http://dx.doi.org/10.3390/insects12111007</v>
      </c>
      <c r="Z168" t="s">
        <v>31</v>
      </c>
      <c r="AA168" t="s">
        <v>2664</v>
      </c>
      <c r="AB168" t="s">
        <v>2664</v>
      </c>
      <c r="AC168" t="s">
        <v>47</v>
      </c>
      <c r="AD168" t="s">
        <v>2665</v>
      </c>
      <c r="AE168" t="str">
        <f>HYPERLINK("https%3A%2F%2Fwww.webofscience.com%2Fwos%2Fwoscc%2Ffull-record%2FWOS:000724586400001","View Full Record in Web of Science")</f>
        <v>View Full Record in Web of Science</v>
      </c>
    </row>
    <row r="169" spans="1:31" ht="20.100000000000001" customHeight="1" x14ac:dyDescent="0.2">
      <c r="A169" t="s">
        <v>2666</v>
      </c>
      <c r="B169" t="s">
        <v>2667</v>
      </c>
      <c r="C169" t="s">
        <v>2668</v>
      </c>
      <c r="D169" t="s">
        <v>2581</v>
      </c>
      <c r="E169" t="s">
        <v>31</v>
      </c>
      <c r="F169" t="s">
        <v>2669</v>
      </c>
      <c r="G169" t="s">
        <v>2670</v>
      </c>
      <c r="H169" t="s">
        <v>2671</v>
      </c>
      <c r="I169" t="s">
        <v>1416</v>
      </c>
      <c r="J169" t="s">
        <v>2672</v>
      </c>
      <c r="L169" t="s">
        <v>2673</v>
      </c>
      <c r="M169" t="s">
        <v>2674</v>
      </c>
      <c r="N169" t="s">
        <v>2674</v>
      </c>
      <c r="O169" t="s">
        <v>2675</v>
      </c>
      <c r="P169">
        <v>6</v>
      </c>
      <c r="Q169" t="s">
        <v>718</v>
      </c>
      <c r="R169">
        <v>2021</v>
      </c>
      <c r="S169">
        <v>87</v>
      </c>
      <c r="T169" t="s">
        <v>31</v>
      </c>
      <c r="U169" t="s">
        <v>31</v>
      </c>
      <c r="V169" t="s">
        <v>31</v>
      </c>
      <c r="W169" t="s">
        <v>2676</v>
      </c>
      <c r="X169" t="s">
        <v>2677</v>
      </c>
      <c r="Y169" t="str">
        <f>HYPERLINK("http://dx.doi.org/10.1093/mollus/eyab032","http://dx.doi.org/10.1093/mollus/eyab032")</f>
        <v>http://dx.doi.org/10.1093/mollus/eyab032</v>
      </c>
      <c r="Z169" t="s">
        <v>31</v>
      </c>
      <c r="AA169" t="s">
        <v>2548</v>
      </c>
      <c r="AB169" t="s">
        <v>2548</v>
      </c>
      <c r="AC169" t="s">
        <v>47</v>
      </c>
      <c r="AD169" t="s">
        <v>2678</v>
      </c>
      <c r="AE169" t="str">
        <f>HYPERLINK("https%3A%2F%2Fwww.webofscience.com%2Fwos%2Fwoscc%2Ffull-record%2FWOS:000809855100004","View Full Record in Web of Science")</f>
        <v>View Full Record in Web of Science</v>
      </c>
    </row>
    <row r="170" spans="1:31" ht="20.100000000000001" customHeight="1" x14ac:dyDescent="0.2">
      <c r="A170" t="s">
        <v>2679</v>
      </c>
      <c r="B170" t="s">
        <v>2680</v>
      </c>
      <c r="C170" t="s">
        <v>2681</v>
      </c>
      <c r="D170" t="s">
        <v>642</v>
      </c>
      <c r="E170" t="s">
        <v>2682</v>
      </c>
      <c r="F170" t="s">
        <v>2683</v>
      </c>
      <c r="G170" t="s">
        <v>2684</v>
      </c>
      <c r="H170" t="s">
        <v>2685</v>
      </c>
      <c r="I170" t="s">
        <v>2686</v>
      </c>
      <c r="J170" t="s">
        <v>2687</v>
      </c>
      <c r="L170" t="s">
        <v>2688</v>
      </c>
      <c r="M170" t="s">
        <v>2689</v>
      </c>
      <c r="N170" t="s">
        <v>2690</v>
      </c>
      <c r="O170" t="s">
        <v>2691</v>
      </c>
      <c r="P170">
        <v>5</v>
      </c>
      <c r="Q170" t="s">
        <v>718</v>
      </c>
      <c r="R170">
        <v>2021</v>
      </c>
      <c r="S170">
        <v>11</v>
      </c>
      <c r="T170">
        <v>18</v>
      </c>
      <c r="U170" t="s">
        <v>31</v>
      </c>
      <c r="V170" t="s">
        <v>31</v>
      </c>
      <c r="W170">
        <v>8547</v>
      </c>
      <c r="X170" t="s">
        <v>2692</v>
      </c>
      <c r="Y170" t="str">
        <f>HYPERLINK("http://dx.doi.org/10.3390/app11188547","http://dx.doi.org/10.3390/app11188547")</f>
        <v>http://dx.doi.org/10.3390/app11188547</v>
      </c>
      <c r="Z170" t="s">
        <v>31</v>
      </c>
      <c r="AA170" t="s">
        <v>654</v>
      </c>
      <c r="AB170" t="s">
        <v>655</v>
      </c>
      <c r="AC170" t="s">
        <v>47</v>
      </c>
      <c r="AD170" t="s">
        <v>2693</v>
      </c>
      <c r="AE170" t="str">
        <f>HYPERLINK("https%3A%2F%2Fwww.webofscience.com%2Fwos%2Fwoscc%2Ffull-record%2FWOS:000699192700001","View Full Record in Web of Science")</f>
        <v>View Full Record in Web of Science</v>
      </c>
    </row>
    <row r="171" spans="1:31" ht="20.100000000000001" customHeight="1" x14ac:dyDescent="0.2">
      <c r="A171" t="s">
        <v>2694</v>
      </c>
      <c r="B171" t="s">
        <v>2695</v>
      </c>
      <c r="C171" t="s">
        <v>2696</v>
      </c>
      <c r="D171" t="s">
        <v>1408</v>
      </c>
      <c r="E171" t="s">
        <v>2697</v>
      </c>
      <c r="F171" t="s">
        <v>2698</v>
      </c>
      <c r="G171" t="s">
        <v>2699</v>
      </c>
      <c r="H171" t="s">
        <v>2700</v>
      </c>
      <c r="I171" t="s">
        <v>2701</v>
      </c>
      <c r="J171" t="s">
        <v>2702</v>
      </c>
      <c r="L171" t="s">
        <v>2703</v>
      </c>
      <c r="M171" t="s">
        <v>31</v>
      </c>
      <c r="N171" t="s">
        <v>31</v>
      </c>
      <c r="O171" t="s">
        <v>31</v>
      </c>
      <c r="P171">
        <v>10</v>
      </c>
      <c r="Q171" t="s">
        <v>718</v>
      </c>
      <c r="R171">
        <v>2021</v>
      </c>
      <c r="S171">
        <v>10</v>
      </c>
      <c r="T171">
        <v>9</v>
      </c>
      <c r="U171" t="s">
        <v>31</v>
      </c>
      <c r="V171" t="s">
        <v>31</v>
      </c>
      <c r="W171">
        <v>936</v>
      </c>
      <c r="X171" t="s">
        <v>2704</v>
      </c>
      <c r="Y171" t="str">
        <f>HYPERLINK("http://dx.doi.org/10.3390/biology10090936","http://dx.doi.org/10.3390/biology10090936")</f>
        <v>http://dx.doi.org/10.3390/biology10090936</v>
      </c>
      <c r="Z171" t="s">
        <v>31</v>
      </c>
      <c r="AA171" t="s">
        <v>335</v>
      </c>
      <c r="AB171" t="s">
        <v>336</v>
      </c>
      <c r="AC171" t="s">
        <v>47</v>
      </c>
      <c r="AD171" t="s">
        <v>2705</v>
      </c>
      <c r="AE171" t="str">
        <f>HYPERLINK("https%3A%2F%2Fwww.webofscience.com%2Fwos%2Fwoscc%2Ffull-record%2FWOS:000700561200001","View Full Record in Web of Science")</f>
        <v>View Full Record in Web of Science</v>
      </c>
    </row>
    <row r="172" spans="1:31" ht="20.100000000000001" customHeight="1" x14ac:dyDescent="0.2">
      <c r="A172" t="s">
        <v>2706</v>
      </c>
      <c r="B172" t="s">
        <v>2707</v>
      </c>
      <c r="C172" t="s">
        <v>2708</v>
      </c>
      <c r="D172" t="s">
        <v>2709</v>
      </c>
      <c r="E172" t="s">
        <v>2710</v>
      </c>
      <c r="F172" t="s">
        <v>2711</v>
      </c>
      <c r="G172" t="s">
        <v>2712</v>
      </c>
      <c r="H172" t="s">
        <v>2713</v>
      </c>
      <c r="I172" t="s">
        <v>2714</v>
      </c>
      <c r="J172" t="s">
        <v>2715</v>
      </c>
      <c r="L172" t="s">
        <v>2716</v>
      </c>
      <c r="M172" t="s">
        <v>2717</v>
      </c>
      <c r="N172" t="s">
        <v>2718</v>
      </c>
      <c r="O172" t="s">
        <v>2719</v>
      </c>
      <c r="P172">
        <v>23</v>
      </c>
      <c r="Q172" t="s">
        <v>1722</v>
      </c>
      <c r="R172">
        <v>2021</v>
      </c>
      <c r="S172">
        <v>12</v>
      </c>
      <c r="T172" t="s">
        <v>31</v>
      </c>
      <c r="U172" t="s">
        <v>31</v>
      </c>
      <c r="V172" t="s">
        <v>31</v>
      </c>
      <c r="W172">
        <v>707687</v>
      </c>
      <c r="X172" t="s">
        <v>2720</v>
      </c>
      <c r="Y172" t="str">
        <f>HYPERLINK("http://dx.doi.org/10.3389/fphar.2021.707687","http://dx.doi.org/10.3389/fphar.2021.707687")</f>
        <v>http://dx.doi.org/10.3389/fphar.2021.707687</v>
      </c>
      <c r="Z172" t="s">
        <v>31</v>
      </c>
      <c r="AA172" t="s">
        <v>755</v>
      </c>
      <c r="AB172" t="s">
        <v>755</v>
      </c>
      <c r="AC172" t="s">
        <v>47</v>
      </c>
      <c r="AD172" t="s">
        <v>2721</v>
      </c>
      <c r="AE172" t="str">
        <f>HYPERLINK("https%3A%2F%2Fwww.webofscience.com%2Fwos%2Fwoscc%2Ffull-record%2FWOS:000697892600001","View Full Record in Web of Science")</f>
        <v>View Full Record in Web of Science</v>
      </c>
    </row>
    <row r="173" spans="1:31" ht="20.100000000000001" customHeight="1" x14ac:dyDescent="0.2">
      <c r="A173" t="s">
        <v>2722</v>
      </c>
      <c r="B173" t="s">
        <v>2723</v>
      </c>
      <c r="C173" t="s">
        <v>2724</v>
      </c>
      <c r="D173" t="s">
        <v>1312</v>
      </c>
      <c r="E173" t="s">
        <v>2725</v>
      </c>
      <c r="F173" t="s">
        <v>2726</v>
      </c>
      <c r="G173" t="s">
        <v>2727</v>
      </c>
      <c r="H173" t="s">
        <v>2728</v>
      </c>
      <c r="I173" t="s">
        <v>2729</v>
      </c>
      <c r="J173" t="s">
        <v>2730</v>
      </c>
      <c r="L173" t="s">
        <v>2731</v>
      </c>
      <c r="M173" t="s">
        <v>2732</v>
      </c>
      <c r="N173" t="s">
        <v>2733</v>
      </c>
      <c r="O173" t="s">
        <v>2734</v>
      </c>
      <c r="P173">
        <v>6</v>
      </c>
      <c r="Q173" t="s">
        <v>2735</v>
      </c>
      <c r="R173">
        <v>2021</v>
      </c>
      <c r="S173">
        <v>261</v>
      </c>
      <c r="T173" t="s">
        <v>31</v>
      </c>
      <c r="U173" t="s">
        <v>31</v>
      </c>
      <c r="V173" t="s">
        <v>31</v>
      </c>
      <c r="W173">
        <v>107563</v>
      </c>
      <c r="X173" t="s">
        <v>2736</v>
      </c>
      <c r="Y173" t="str">
        <f>HYPERLINK("http://dx.doi.org/10.1016/j.ecss.2021.107563","http://dx.doi.org/10.1016/j.ecss.2021.107563")</f>
        <v>http://dx.doi.org/10.1016/j.ecss.2021.107563</v>
      </c>
      <c r="Z173" t="s">
        <v>2737</v>
      </c>
      <c r="AA173" t="s">
        <v>431</v>
      </c>
      <c r="AB173" t="s">
        <v>431</v>
      </c>
      <c r="AC173" t="s">
        <v>47</v>
      </c>
      <c r="AD173" t="s">
        <v>2738</v>
      </c>
      <c r="AE173" t="str">
        <f>HYPERLINK("https%3A%2F%2Fwww.webofscience.com%2Fwos%2Fwoscc%2Ffull-record%2FWOS:000704738300004","View Full Record in Web of Science")</f>
        <v>View Full Record in Web of Science</v>
      </c>
    </row>
    <row r="174" spans="1:31" ht="20.100000000000001" customHeight="1" x14ac:dyDescent="0.2">
      <c r="A174" t="s">
        <v>2739</v>
      </c>
      <c r="B174" t="s">
        <v>2740</v>
      </c>
      <c r="C174" t="s">
        <v>2741</v>
      </c>
      <c r="D174" t="s">
        <v>1577</v>
      </c>
      <c r="E174" t="s">
        <v>31</v>
      </c>
      <c r="F174" t="s">
        <v>2742</v>
      </c>
      <c r="G174" t="s">
        <v>2743</v>
      </c>
      <c r="H174" t="s">
        <v>2744</v>
      </c>
      <c r="I174" t="s">
        <v>2745</v>
      </c>
      <c r="J174" t="s">
        <v>2746</v>
      </c>
      <c r="L174" t="s">
        <v>2747</v>
      </c>
      <c r="M174" t="s">
        <v>2748</v>
      </c>
      <c r="N174" t="s">
        <v>2749</v>
      </c>
      <c r="O174" t="s">
        <v>2750</v>
      </c>
      <c r="P174">
        <v>33</v>
      </c>
      <c r="Q174" t="s">
        <v>2751</v>
      </c>
      <c r="R174">
        <v>2021</v>
      </c>
      <c r="S174">
        <v>10</v>
      </c>
      <c r="T174" t="s">
        <v>31</v>
      </c>
      <c r="U174" t="s">
        <v>31</v>
      </c>
      <c r="V174" t="s">
        <v>31</v>
      </c>
      <c r="W174" t="s">
        <v>2752</v>
      </c>
      <c r="X174" t="s">
        <v>2753</v>
      </c>
      <c r="Y174" t="str">
        <f>HYPERLINK("http://dx.doi.org/10.7554/eLife.69161","http://dx.doi.org/10.7554/eLife.69161")</f>
        <v>http://dx.doi.org/10.7554/eLife.69161</v>
      </c>
      <c r="Z174" t="s">
        <v>31</v>
      </c>
      <c r="AA174" t="s">
        <v>335</v>
      </c>
      <c r="AB174" t="s">
        <v>336</v>
      </c>
      <c r="AC174" t="s">
        <v>47</v>
      </c>
      <c r="AD174" t="s">
        <v>2754</v>
      </c>
      <c r="AE174" t="str">
        <f>HYPERLINK("https%3A%2F%2Fwww.webofscience.com%2Fwos%2Fwoscc%2Ffull-record%2FWOS:000689519000001","View Full Record in Web of Science")</f>
        <v>View Full Record in Web of Science</v>
      </c>
    </row>
    <row r="175" spans="1:31" ht="20.100000000000001" customHeight="1" x14ac:dyDescent="0.2">
      <c r="A175" t="s">
        <v>2755</v>
      </c>
      <c r="B175" t="s">
        <v>2756</v>
      </c>
      <c r="C175" t="s">
        <v>2757</v>
      </c>
      <c r="D175" t="s">
        <v>2758</v>
      </c>
      <c r="E175" t="s">
        <v>2759</v>
      </c>
      <c r="F175" t="s">
        <v>2760</v>
      </c>
      <c r="G175" t="s">
        <v>2761</v>
      </c>
      <c r="H175" t="s">
        <v>2762</v>
      </c>
      <c r="I175" t="s">
        <v>1416</v>
      </c>
      <c r="J175" t="s">
        <v>2763</v>
      </c>
      <c r="L175" t="s">
        <v>2764</v>
      </c>
      <c r="M175" t="s">
        <v>2765</v>
      </c>
      <c r="N175" t="s">
        <v>2766</v>
      </c>
      <c r="O175" t="s">
        <v>2767</v>
      </c>
      <c r="P175">
        <v>7</v>
      </c>
      <c r="Q175" t="s">
        <v>62</v>
      </c>
      <c r="R175">
        <v>2021</v>
      </c>
      <c r="S175">
        <v>95</v>
      </c>
      <c r="T175" t="s">
        <v>31</v>
      </c>
      <c r="U175" t="s">
        <v>31</v>
      </c>
      <c r="V175" t="s">
        <v>31</v>
      </c>
      <c r="W175">
        <v>105023</v>
      </c>
      <c r="X175" t="s">
        <v>2768</v>
      </c>
      <c r="Y175" t="str">
        <f>HYPERLINK("http://dx.doi.org/10.1016/j.meegid.2021.105023","http://dx.doi.org/10.1016/j.meegid.2021.105023")</f>
        <v>http://dx.doi.org/10.1016/j.meegid.2021.105023</v>
      </c>
      <c r="Z175" t="s">
        <v>2737</v>
      </c>
      <c r="AA175" t="s">
        <v>2769</v>
      </c>
      <c r="AB175" t="s">
        <v>2769</v>
      </c>
      <c r="AC175" t="s">
        <v>47</v>
      </c>
      <c r="AD175" t="s">
        <v>2770</v>
      </c>
      <c r="AE175" t="str">
        <f>HYPERLINK("https%3A%2F%2Fwww.webofscience.com%2Fwos%2Fwoscc%2Ffull-record%2FWOS:000702862600006","View Full Record in Web of Science")</f>
        <v>View Full Record in Web of Science</v>
      </c>
    </row>
    <row r="176" spans="1:31" ht="20.100000000000001" customHeight="1" x14ac:dyDescent="0.2">
      <c r="A176" t="s">
        <v>2771</v>
      </c>
      <c r="B176" t="s">
        <v>2772</v>
      </c>
      <c r="C176" t="s">
        <v>2773</v>
      </c>
      <c r="D176" t="s">
        <v>1208</v>
      </c>
      <c r="E176" t="s">
        <v>2774</v>
      </c>
      <c r="F176" t="s">
        <v>2775</v>
      </c>
      <c r="G176" t="s">
        <v>2776</v>
      </c>
      <c r="H176" t="s">
        <v>2777</v>
      </c>
      <c r="I176" t="s">
        <v>2778</v>
      </c>
      <c r="J176" t="s">
        <v>2779</v>
      </c>
      <c r="L176" t="s">
        <v>815</v>
      </c>
      <c r="M176" t="s">
        <v>2780</v>
      </c>
      <c r="N176" t="s">
        <v>2781</v>
      </c>
      <c r="O176" t="s">
        <v>2782</v>
      </c>
      <c r="P176">
        <v>12</v>
      </c>
      <c r="Q176" t="s">
        <v>2783</v>
      </c>
      <c r="R176">
        <v>2021</v>
      </c>
      <c r="S176">
        <v>30</v>
      </c>
      <c r="T176">
        <v>8</v>
      </c>
      <c r="U176">
        <v>1038</v>
      </c>
      <c r="V176">
        <v>1046</v>
      </c>
      <c r="W176" t="s">
        <v>31</v>
      </c>
      <c r="X176" t="s">
        <v>2784</v>
      </c>
      <c r="Y176" t="str">
        <f>HYPERLINK("http://dx.doi.org/10.1080/10498850.2021.1962470","http://dx.doi.org/10.1080/10498850.2021.1962470")</f>
        <v>http://dx.doi.org/10.1080/10498850.2021.1962470</v>
      </c>
      <c r="Z176" t="s">
        <v>2737</v>
      </c>
      <c r="AA176" t="s">
        <v>46</v>
      </c>
      <c r="AB176" t="s">
        <v>46</v>
      </c>
      <c r="AC176" t="s">
        <v>47</v>
      </c>
      <c r="AD176" t="s">
        <v>2785</v>
      </c>
      <c r="AE176" t="str">
        <f>HYPERLINK("https%3A%2F%2Fwww.webofscience.com%2Fwos%2Fwoscc%2Ffull-record%2FWOS:000682369500001","View Full Record in Web of Science")</f>
        <v>View Full Record in Web of Science</v>
      </c>
    </row>
    <row r="177" spans="1:31" ht="20.100000000000001" customHeight="1" x14ac:dyDescent="0.2">
      <c r="A177" t="s">
        <v>2786</v>
      </c>
      <c r="B177" t="s">
        <v>2787</v>
      </c>
      <c r="C177" t="s">
        <v>2788</v>
      </c>
      <c r="D177" t="s">
        <v>2789</v>
      </c>
      <c r="E177" t="s">
        <v>2790</v>
      </c>
      <c r="F177" t="s">
        <v>31</v>
      </c>
      <c r="G177" t="s">
        <v>2791</v>
      </c>
      <c r="H177" t="s">
        <v>2792</v>
      </c>
      <c r="I177" t="s">
        <v>2793</v>
      </c>
      <c r="J177" t="s">
        <v>2794</v>
      </c>
      <c r="L177" t="s">
        <v>924</v>
      </c>
      <c r="M177" t="s">
        <v>2795</v>
      </c>
      <c r="N177" t="s">
        <v>2796</v>
      </c>
      <c r="O177" t="s">
        <v>2797</v>
      </c>
      <c r="P177">
        <v>11</v>
      </c>
      <c r="Q177" t="s">
        <v>2798</v>
      </c>
      <c r="R177">
        <v>2021</v>
      </c>
      <c r="S177">
        <v>6</v>
      </c>
      <c r="T177">
        <v>8</v>
      </c>
      <c r="U177">
        <v>2120</v>
      </c>
      <c r="V177">
        <v>2122</v>
      </c>
      <c r="W177" t="s">
        <v>31</v>
      </c>
      <c r="X177" t="s">
        <v>2799</v>
      </c>
      <c r="Y177" t="str">
        <f>HYPERLINK("http://dx.doi.org/10.1080/23802359.2021.1944360","http://dx.doi.org/10.1080/23802359.2021.1944360")</f>
        <v>http://dx.doi.org/10.1080/23802359.2021.1944360</v>
      </c>
      <c r="Z177" t="s">
        <v>31</v>
      </c>
      <c r="AA177" t="s">
        <v>1262</v>
      </c>
      <c r="AB177" t="s">
        <v>1262</v>
      </c>
      <c r="AC177" t="s">
        <v>47</v>
      </c>
      <c r="AD177" t="s">
        <v>2800</v>
      </c>
      <c r="AE177" t="str">
        <f>HYPERLINK("https%3A%2F%2Fwww.webofscience.com%2Fwos%2Fwoscc%2Ffull-record%2FWOS:000667568800001","View Full Record in Web of Science")</f>
        <v>View Full Record in Web of Science</v>
      </c>
    </row>
    <row r="178" spans="1:31" ht="20.100000000000001" customHeight="1" x14ac:dyDescent="0.2">
      <c r="A178" t="s">
        <v>2801</v>
      </c>
      <c r="B178" t="s">
        <v>2802</v>
      </c>
      <c r="C178" t="s">
        <v>2803</v>
      </c>
      <c r="D178" t="s">
        <v>124</v>
      </c>
      <c r="E178" t="s">
        <v>2804</v>
      </c>
      <c r="F178" t="s">
        <v>2805</v>
      </c>
      <c r="G178" t="s">
        <v>2806</v>
      </c>
      <c r="H178" t="s">
        <v>2807</v>
      </c>
      <c r="I178" t="s">
        <v>2808</v>
      </c>
      <c r="J178" t="s">
        <v>2809</v>
      </c>
      <c r="L178" t="s">
        <v>2810</v>
      </c>
      <c r="M178" t="s">
        <v>2811</v>
      </c>
      <c r="N178" t="s">
        <v>2812</v>
      </c>
      <c r="O178" t="s">
        <v>2813</v>
      </c>
      <c r="P178">
        <v>29</v>
      </c>
      <c r="Q178" t="s">
        <v>79</v>
      </c>
      <c r="R178">
        <v>2021</v>
      </c>
      <c r="S178">
        <v>10</v>
      </c>
      <c r="T178">
        <v>8</v>
      </c>
      <c r="U178" t="s">
        <v>31</v>
      </c>
      <c r="V178" t="s">
        <v>31</v>
      </c>
      <c r="W178">
        <v>1825</v>
      </c>
      <c r="X178" t="s">
        <v>2814</v>
      </c>
      <c r="Y178" t="str">
        <f>HYPERLINK("http://dx.doi.org/10.3390/foods10081825","http://dx.doi.org/10.3390/foods10081825")</f>
        <v>http://dx.doi.org/10.3390/foods10081825</v>
      </c>
      <c r="Z178" t="s">
        <v>31</v>
      </c>
      <c r="AA178" t="s">
        <v>46</v>
      </c>
      <c r="AB178" t="s">
        <v>46</v>
      </c>
      <c r="AC178" t="s">
        <v>47</v>
      </c>
      <c r="AD178" t="s">
        <v>2815</v>
      </c>
      <c r="AE178" t="str">
        <f>HYPERLINK("https%3A%2F%2Fwww.webofscience.com%2Fwos%2Fwoscc%2Ffull-record%2FWOS:000689319400001","View Full Record in Web of Science")</f>
        <v>View Full Record in Web of Science</v>
      </c>
    </row>
    <row r="179" spans="1:31" ht="20.100000000000001" customHeight="1" x14ac:dyDescent="0.2">
      <c r="A179" t="s">
        <v>2816</v>
      </c>
      <c r="B179" t="s">
        <v>2817</v>
      </c>
      <c r="C179" t="s">
        <v>2818</v>
      </c>
      <c r="D179" t="s">
        <v>542</v>
      </c>
      <c r="E179" t="s">
        <v>2819</v>
      </c>
      <c r="F179" t="s">
        <v>2820</v>
      </c>
      <c r="G179" t="s">
        <v>2821</v>
      </c>
      <c r="H179" t="s">
        <v>2822</v>
      </c>
      <c r="I179" t="s">
        <v>2823</v>
      </c>
      <c r="J179" t="s">
        <v>2824</v>
      </c>
      <c r="L179" t="s">
        <v>2825</v>
      </c>
      <c r="M179" t="s">
        <v>2826</v>
      </c>
      <c r="N179" t="s">
        <v>2827</v>
      </c>
      <c r="O179" t="s">
        <v>2828</v>
      </c>
      <c r="P179">
        <v>38</v>
      </c>
      <c r="Q179" t="s">
        <v>2829</v>
      </c>
      <c r="R179">
        <v>2021</v>
      </c>
      <c r="S179">
        <v>8</v>
      </c>
      <c r="T179" t="s">
        <v>31</v>
      </c>
      <c r="U179" t="s">
        <v>31</v>
      </c>
      <c r="V179" t="s">
        <v>31</v>
      </c>
      <c r="W179">
        <v>670413</v>
      </c>
      <c r="X179" t="s">
        <v>2830</v>
      </c>
      <c r="Y179" t="str">
        <f>HYPERLINK("http://dx.doi.org/10.3389/fmars.2021.670413","http://dx.doi.org/10.3389/fmars.2021.670413")</f>
        <v>http://dx.doi.org/10.3389/fmars.2021.670413</v>
      </c>
      <c r="Z179" t="s">
        <v>31</v>
      </c>
      <c r="AA179" t="s">
        <v>554</v>
      </c>
      <c r="AB179" t="s">
        <v>555</v>
      </c>
      <c r="AC179" t="s">
        <v>47</v>
      </c>
      <c r="AD179" t="s">
        <v>2831</v>
      </c>
      <c r="AE179" t="str">
        <f>HYPERLINK("https%3A%2F%2Fwww.webofscience.com%2Fwos%2Fwoscc%2Ffull-record%2FWOS:000680040800001","View Full Record in Web of Science")</f>
        <v>View Full Record in Web of Science</v>
      </c>
    </row>
    <row r="180" spans="1:31" ht="20.100000000000001" customHeight="1" x14ac:dyDescent="0.2">
      <c r="A180" t="s">
        <v>2832</v>
      </c>
      <c r="B180" t="s">
        <v>2833</v>
      </c>
      <c r="C180" t="s">
        <v>2834</v>
      </c>
      <c r="D180" t="s">
        <v>576</v>
      </c>
      <c r="E180" t="s">
        <v>2835</v>
      </c>
      <c r="F180" t="s">
        <v>2836</v>
      </c>
      <c r="G180" t="s">
        <v>2837</v>
      </c>
      <c r="H180" t="s">
        <v>2838</v>
      </c>
      <c r="I180" t="s">
        <v>2839</v>
      </c>
      <c r="J180" t="s">
        <v>2840</v>
      </c>
      <c r="L180" t="s">
        <v>2841</v>
      </c>
      <c r="M180" t="s">
        <v>2842</v>
      </c>
      <c r="N180" t="s">
        <v>2843</v>
      </c>
      <c r="O180" t="s">
        <v>2844</v>
      </c>
      <c r="P180">
        <v>11</v>
      </c>
      <c r="Q180" t="s">
        <v>62</v>
      </c>
      <c r="R180">
        <v>2021</v>
      </c>
      <c r="S180">
        <v>30</v>
      </c>
      <c r="T180">
        <v>6</v>
      </c>
      <c r="U180">
        <v>726</v>
      </c>
      <c r="V180">
        <v>739</v>
      </c>
      <c r="W180" t="s">
        <v>31</v>
      </c>
      <c r="X180" t="s">
        <v>2845</v>
      </c>
      <c r="Y180" t="str">
        <f>HYPERLINK("http://dx.doi.org/10.1111/fog.12555","http://dx.doi.org/10.1111/fog.12555")</f>
        <v>http://dx.doi.org/10.1111/fog.12555</v>
      </c>
      <c r="Z180" t="s">
        <v>2846</v>
      </c>
      <c r="AA180" t="s">
        <v>587</v>
      </c>
      <c r="AB180" t="s">
        <v>587</v>
      </c>
      <c r="AC180" t="s">
        <v>47</v>
      </c>
      <c r="AD180" t="s">
        <v>2847</v>
      </c>
      <c r="AE180" t="str">
        <f>HYPERLINK("https%3A%2F%2Fwww.webofscience.com%2Fwos%2Fwoscc%2Ffull-record%2FWOS:000670298300001","View Full Record in Web of Science")</f>
        <v>View Full Record in Web of Science</v>
      </c>
    </row>
    <row r="181" spans="1:31" ht="20.100000000000001" customHeight="1" x14ac:dyDescent="0.2">
      <c r="A181" t="s">
        <v>2848</v>
      </c>
      <c r="B181" t="s">
        <v>2849</v>
      </c>
      <c r="C181" t="s">
        <v>2850</v>
      </c>
      <c r="D181" t="s">
        <v>2851</v>
      </c>
      <c r="E181" t="s">
        <v>2852</v>
      </c>
      <c r="F181" t="s">
        <v>2853</v>
      </c>
      <c r="G181" t="s">
        <v>2854</v>
      </c>
      <c r="H181" t="s">
        <v>2855</v>
      </c>
      <c r="I181" t="s">
        <v>2856</v>
      </c>
      <c r="J181" t="s">
        <v>2857</v>
      </c>
      <c r="L181" t="s">
        <v>2858</v>
      </c>
      <c r="M181" t="s">
        <v>31</v>
      </c>
      <c r="N181" t="s">
        <v>31</v>
      </c>
      <c r="O181" t="s">
        <v>31</v>
      </c>
      <c r="P181">
        <v>9</v>
      </c>
      <c r="Q181" t="s">
        <v>31</v>
      </c>
      <c r="R181">
        <v>2021</v>
      </c>
      <c r="S181">
        <v>72</v>
      </c>
      <c r="T181">
        <v>11</v>
      </c>
      <c r="U181">
        <v>1679</v>
      </c>
      <c r="V181">
        <v>1681</v>
      </c>
      <c r="W181" t="s">
        <v>31</v>
      </c>
      <c r="X181" t="s">
        <v>2859</v>
      </c>
      <c r="Y181" t="str">
        <f>HYPERLINK("http://dx.doi.org/10.1071/MF21059","http://dx.doi.org/10.1071/MF21059")</f>
        <v>http://dx.doi.org/10.1071/MF21059</v>
      </c>
      <c r="Z181" t="s">
        <v>2846</v>
      </c>
      <c r="AA181" t="s">
        <v>2860</v>
      </c>
      <c r="AB181" t="s">
        <v>2861</v>
      </c>
      <c r="AC181" t="s">
        <v>47</v>
      </c>
      <c r="AD181" t="s">
        <v>2862</v>
      </c>
      <c r="AE181" t="str">
        <f>HYPERLINK("https%3A%2F%2Fwww.webofscience.com%2Fwos%2Fwoscc%2Ffull-record%2FWOS:000670313800001","View Full Record in Web of Science")</f>
        <v>View Full Record in Web of Science</v>
      </c>
    </row>
    <row r="182" spans="1:31" ht="20.100000000000001" customHeight="1" x14ac:dyDescent="0.2">
      <c r="A182" t="s">
        <v>2863</v>
      </c>
      <c r="B182" t="s">
        <v>2864</v>
      </c>
      <c r="C182" t="s">
        <v>2865</v>
      </c>
      <c r="D182" t="s">
        <v>2866</v>
      </c>
      <c r="E182" t="s">
        <v>2867</v>
      </c>
      <c r="F182" t="s">
        <v>2868</v>
      </c>
      <c r="G182" t="s">
        <v>2869</v>
      </c>
      <c r="H182" t="s">
        <v>2870</v>
      </c>
      <c r="I182" t="s">
        <v>2871</v>
      </c>
      <c r="J182" t="s">
        <v>2872</v>
      </c>
      <c r="L182" t="s">
        <v>2873</v>
      </c>
      <c r="M182" t="s">
        <v>2874</v>
      </c>
      <c r="N182" t="s">
        <v>2875</v>
      </c>
      <c r="O182" t="s">
        <v>2876</v>
      </c>
      <c r="P182">
        <v>4</v>
      </c>
      <c r="Q182" t="s">
        <v>2877</v>
      </c>
      <c r="R182">
        <v>2021</v>
      </c>
      <c r="S182">
        <v>15</v>
      </c>
      <c r="T182" t="s">
        <v>31</v>
      </c>
      <c r="U182" t="s">
        <v>31</v>
      </c>
      <c r="V182" t="s">
        <v>31</v>
      </c>
      <c r="W182">
        <v>614523</v>
      </c>
      <c r="X182" t="s">
        <v>2878</v>
      </c>
      <c r="Y182" t="str">
        <f>HYPERLINK("http://dx.doi.org/10.3389/fnbeh.2021.614523","http://dx.doi.org/10.3389/fnbeh.2021.614523")</f>
        <v>http://dx.doi.org/10.3389/fnbeh.2021.614523</v>
      </c>
      <c r="Z182" t="s">
        <v>31</v>
      </c>
      <c r="AA182" t="s">
        <v>2879</v>
      </c>
      <c r="AB182" t="s">
        <v>2880</v>
      </c>
      <c r="AC182" t="s">
        <v>47</v>
      </c>
      <c r="AD182" t="s">
        <v>2881</v>
      </c>
      <c r="AE182" t="str">
        <f>HYPERLINK("https%3A%2F%2Fwww.webofscience.com%2Fwos%2Fwoscc%2Ffull-record%2FWOS:000671081800001","View Full Record in Web of Science")</f>
        <v>View Full Record in Web of Science</v>
      </c>
    </row>
    <row r="183" spans="1:31" ht="20.100000000000001" customHeight="1" x14ac:dyDescent="0.2">
      <c r="A183" t="s">
        <v>2882</v>
      </c>
      <c r="B183" t="s">
        <v>2883</v>
      </c>
      <c r="C183" t="s">
        <v>2884</v>
      </c>
      <c r="D183" t="s">
        <v>2885</v>
      </c>
      <c r="E183" t="s">
        <v>2886</v>
      </c>
      <c r="F183" t="s">
        <v>2887</v>
      </c>
      <c r="G183" t="s">
        <v>2888</v>
      </c>
      <c r="H183" t="s">
        <v>2889</v>
      </c>
      <c r="I183" t="s">
        <v>2890</v>
      </c>
      <c r="J183" t="s">
        <v>2891</v>
      </c>
      <c r="L183" t="s">
        <v>2892</v>
      </c>
      <c r="M183" t="s">
        <v>2893</v>
      </c>
      <c r="N183" t="s">
        <v>2893</v>
      </c>
      <c r="O183" t="s">
        <v>2894</v>
      </c>
      <c r="P183">
        <v>0</v>
      </c>
      <c r="Q183" t="s">
        <v>1466</v>
      </c>
      <c r="R183">
        <v>2021</v>
      </c>
      <c r="S183">
        <v>848</v>
      </c>
      <c r="T183">
        <v>18</v>
      </c>
      <c r="U183">
        <v>4225</v>
      </c>
      <c r="V183">
        <v>4240</v>
      </c>
      <c r="W183" t="s">
        <v>31</v>
      </c>
      <c r="X183" t="s">
        <v>2895</v>
      </c>
      <c r="Y183" t="str">
        <f>HYPERLINK("http://dx.doi.org/10.1007/s10750-021-04634-6","http://dx.doi.org/10.1007/s10750-021-04634-6")</f>
        <v>http://dx.doi.org/10.1007/s10750-021-04634-6</v>
      </c>
      <c r="Z183" t="s">
        <v>2896</v>
      </c>
      <c r="AA183" t="s">
        <v>119</v>
      </c>
      <c r="AB183" t="s">
        <v>119</v>
      </c>
      <c r="AC183" t="s">
        <v>47</v>
      </c>
      <c r="AD183" t="s">
        <v>2897</v>
      </c>
      <c r="AE183" t="str">
        <f>HYPERLINK("https%3A%2F%2Fwww.webofscience.com%2Fwos%2Fwoscc%2Ffull-record%2FWOS:000665720500001","View Full Record in Web of Science")</f>
        <v>View Full Record in Web of Science</v>
      </c>
    </row>
    <row r="184" spans="1:31" ht="20.100000000000001" customHeight="1" x14ac:dyDescent="0.2">
      <c r="A184" t="s">
        <v>2898</v>
      </c>
      <c r="B184" t="s">
        <v>2899</v>
      </c>
      <c r="C184" t="s">
        <v>2900</v>
      </c>
      <c r="D184" t="s">
        <v>2901</v>
      </c>
      <c r="E184" t="s">
        <v>2902</v>
      </c>
      <c r="F184" t="s">
        <v>2903</v>
      </c>
      <c r="G184" t="s">
        <v>2904</v>
      </c>
      <c r="H184" t="s">
        <v>2905</v>
      </c>
      <c r="I184" t="s">
        <v>2906</v>
      </c>
      <c r="J184" t="s">
        <v>2907</v>
      </c>
      <c r="L184" t="s">
        <v>2908</v>
      </c>
      <c r="M184" t="s">
        <v>2341</v>
      </c>
      <c r="N184" t="s">
        <v>2342</v>
      </c>
      <c r="O184" t="s">
        <v>2343</v>
      </c>
      <c r="P184">
        <v>6</v>
      </c>
      <c r="Q184" t="s">
        <v>117</v>
      </c>
      <c r="R184">
        <v>2021</v>
      </c>
      <c r="S184">
        <v>65</v>
      </c>
      <c r="T184">
        <v>3</v>
      </c>
      <c r="U184">
        <v>226</v>
      </c>
      <c r="V184">
        <v>234</v>
      </c>
      <c r="W184" t="s">
        <v>31</v>
      </c>
      <c r="X184" t="s">
        <v>2909</v>
      </c>
      <c r="Y184" t="str">
        <f>HYPERLINK("http://dx.doi.org/10.1080/07924259.2021.1935335","http://dx.doi.org/10.1080/07924259.2021.1935335")</f>
        <v>http://dx.doi.org/10.1080/07924259.2021.1935335</v>
      </c>
      <c r="Z184" t="s">
        <v>2896</v>
      </c>
      <c r="AA184" t="s">
        <v>2910</v>
      </c>
      <c r="AB184" t="s">
        <v>2910</v>
      </c>
      <c r="AC184" t="s">
        <v>47</v>
      </c>
      <c r="AD184" t="s">
        <v>2911</v>
      </c>
      <c r="AE184" t="str">
        <f>HYPERLINK("https%3A%2F%2Fwww.webofscience.com%2Fwos%2Fwoscc%2Ffull-record%2FWOS:000662082000001","View Full Record in Web of Science")</f>
        <v>View Full Record in Web of Science</v>
      </c>
    </row>
    <row r="185" spans="1:31" ht="20.100000000000001" customHeight="1" x14ac:dyDescent="0.2">
      <c r="A185" t="s">
        <v>2912</v>
      </c>
      <c r="B185" t="s">
        <v>2913</v>
      </c>
      <c r="C185" t="s">
        <v>2914</v>
      </c>
      <c r="D185" t="s">
        <v>2915</v>
      </c>
      <c r="E185" t="s">
        <v>2916</v>
      </c>
      <c r="F185" t="s">
        <v>2917</v>
      </c>
      <c r="G185" t="s">
        <v>2918</v>
      </c>
      <c r="H185" t="s">
        <v>2919</v>
      </c>
      <c r="I185" t="s">
        <v>2920</v>
      </c>
      <c r="J185" t="s">
        <v>31</v>
      </c>
      <c r="L185" t="s">
        <v>2921</v>
      </c>
      <c r="M185" t="s">
        <v>2922</v>
      </c>
      <c r="N185" t="s">
        <v>2923</v>
      </c>
      <c r="O185" t="s">
        <v>2924</v>
      </c>
      <c r="P185">
        <v>18</v>
      </c>
      <c r="Q185" t="s">
        <v>718</v>
      </c>
      <c r="R185">
        <v>2021</v>
      </c>
      <c r="S185">
        <v>78</v>
      </c>
      <c r="T185">
        <v>6</v>
      </c>
      <c r="U185">
        <v>2256</v>
      </c>
      <c r="V185">
        <v>2270</v>
      </c>
      <c r="W185" t="s">
        <v>31</v>
      </c>
      <c r="X185" t="s">
        <v>2925</v>
      </c>
      <c r="Y185" t="str">
        <f>HYPERLINK("http://dx.doi.org/10.1093/icesjms/fsab113","http://dx.doi.org/10.1093/icesjms/fsab113")</f>
        <v>http://dx.doi.org/10.1093/icesjms/fsab113</v>
      </c>
      <c r="Z185" t="s">
        <v>2896</v>
      </c>
      <c r="AA185" t="s">
        <v>2861</v>
      </c>
      <c r="AB185" t="s">
        <v>2861</v>
      </c>
      <c r="AC185" t="s">
        <v>47</v>
      </c>
      <c r="AD185" t="s">
        <v>2926</v>
      </c>
      <c r="AE185" t="str">
        <f>HYPERLINK("https%3A%2F%2Fwww.webofscience.com%2Fwos%2Fwoscc%2Ffull-record%2FWOS:000705457300029","View Full Record in Web of Science")</f>
        <v>View Full Record in Web of Science</v>
      </c>
    </row>
    <row r="186" spans="1:31" ht="20.100000000000001" customHeight="1" x14ac:dyDescent="0.2">
      <c r="A186" t="s">
        <v>2927</v>
      </c>
      <c r="B186" t="s">
        <v>2928</v>
      </c>
      <c r="C186" t="s">
        <v>2929</v>
      </c>
      <c r="D186" t="s">
        <v>276</v>
      </c>
      <c r="E186" t="s">
        <v>2930</v>
      </c>
      <c r="F186" t="s">
        <v>2931</v>
      </c>
      <c r="G186" t="s">
        <v>2932</v>
      </c>
      <c r="H186" t="s">
        <v>2933</v>
      </c>
      <c r="I186" t="s">
        <v>512</v>
      </c>
      <c r="J186" t="s">
        <v>2934</v>
      </c>
      <c r="L186" t="s">
        <v>514</v>
      </c>
      <c r="M186" t="s">
        <v>2935</v>
      </c>
      <c r="N186" t="s">
        <v>2936</v>
      </c>
      <c r="O186" t="s">
        <v>2937</v>
      </c>
      <c r="P186">
        <v>15</v>
      </c>
      <c r="Q186" t="s">
        <v>1162</v>
      </c>
      <c r="R186">
        <v>2021</v>
      </c>
      <c r="S186">
        <v>542</v>
      </c>
      <c r="T186" t="s">
        <v>31</v>
      </c>
      <c r="U186" t="s">
        <v>31</v>
      </c>
      <c r="V186" t="s">
        <v>31</v>
      </c>
      <c r="W186">
        <v>151592</v>
      </c>
      <c r="X186" t="s">
        <v>2938</v>
      </c>
      <c r="Y186" t="str">
        <f>HYPERLINK("http://dx.doi.org/10.1016/j.jembe.2021.151592","http://dx.doi.org/10.1016/j.jembe.2021.151592")</f>
        <v>http://dx.doi.org/10.1016/j.jembe.2021.151592</v>
      </c>
      <c r="Z186" t="s">
        <v>2896</v>
      </c>
      <c r="AA186" t="s">
        <v>287</v>
      </c>
      <c r="AB186" t="s">
        <v>288</v>
      </c>
      <c r="AC186" t="s">
        <v>47</v>
      </c>
      <c r="AD186" t="s">
        <v>2939</v>
      </c>
      <c r="AE186" t="str">
        <f>HYPERLINK("https%3A%2F%2Fwww.webofscience.com%2Fwos%2Fwoscc%2Ffull-record%2FWOS:000687854700005","View Full Record in Web of Science")</f>
        <v>View Full Record in Web of Science</v>
      </c>
    </row>
    <row r="187" spans="1:31" ht="20.100000000000001" customHeight="1" x14ac:dyDescent="0.2">
      <c r="A187" t="s">
        <v>2940</v>
      </c>
      <c r="B187" t="s">
        <v>2941</v>
      </c>
      <c r="C187" t="s">
        <v>2942</v>
      </c>
      <c r="D187" t="s">
        <v>542</v>
      </c>
      <c r="E187" t="s">
        <v>2943</v>
      </c>
      <c r="F187" t="s">
        <v>2944</v>
      </c>
      <c r="G187" t="s">
        <v>2945</v>
      </c>
      <c r="H187" t="s">
        <v>2946</v>
      </c>
      <c r="I187" t="s">
        <v>2947</v>
      </c>
      <c r="J187" t="s">
        <v>2948</v>
      </c>
      <c r="L187" t="s">
        <v>2949</v>
      </c>
      <c r="M187" t="s">
        <v>2950</v>
      </c>
      <c r="N187" t="s">
        <v>2951</v>
      </c>
      <c r="O187" t="s">
        <v>2952</v>
      </c>
      <c r="P187">
        <v>14</v>
      </c>
      <c r="Q187" t="s">
        <v>2953</v>
      </c>
      <c r="R187">
        <v>2021</v>
      </c>
      <c r="S187">
        <v>8</v>
      </c>
      <c r="T187" t="s">
        <v>31</v>
      </c>
      <c r="U187" t="s">
        <v>31</v>
      </c>
      <c r="V187" t="s">
        <v>31</v>
      </c>
      <c r="W187">
        <v>645738</v>
      </c>
      <c r="X187" t="s">
        <v>2954</v>
      </c>
      <c r="Y187" t="str">
        <f>HYPERLINK("http://dx.doi.org/10.3389/fmars.2021.645738","http://dx.doi.org/10.3389/fmars.2021.645738")</f>
        <v>http://dx.doi.org/10.3389/fmars.2021.645738</v>
      </c>
      <c r="Z187" t="s">
        <v>31</v>
      </c>
      <c r="AA187" t="s">
        <v>554</v>
      </c>
      <c r="AB187" t="s">
        <v>555</v>
      </c>
      <c r="AC187" t="s">
        <v>47</v>
      </c>
      <c r="AD187" t="s">
        <v>2955</v>
      </c>
      <c r="AE187" t="str">
        <f>HYPERLINK("https%3A%2F%2Fwww.webofscience.com%2Fwos%2Fwoscc%2Ffull-record%2FWOS:000651364500005","View Full Record in Web of Science")</f>
        <v>View Full Record in Web of Science</v>
      </c>
    </row>
    <row r="188" spans="1:31" ht="20.100000000000001" customHeight="1" x14ac:dyDescent="0.2">
      <c r="A188" t="s">
        <v>2956</v>
      </c>
      <c r="B188" t="s">
        <v>2957</v>
      </c>
      <c r="C188" t="s">
        <v>2958</v>
      </c>
      <c r="D188" t="s">
        <v>436</v>
      </c>
      <c r="E188" t="s">
        <v>2959</v>
      </c>
      <c r="F188" t="s">
        <v>2960</v>
      </c>
      <c r="G188" t="s">
        <v>2961</v>
      </c>
      <c r="H188" t="s">
        <v>2962</v>
      </c>
      <c r="I188" t="s">
        <v>2963</v>
      </c>
      <c r="J188" t="s">
        <v>2964</v>
      </c>
      <c r="L188" t="s">
        <v>2965</v>
      </c>
      <c r="M188" t="s">
        <v>2966</v>
      </c>
      <c r="N188" t="s">
        <v>2967</v>
      </c>
      <c r="O188" t="s">
        <v>2968</v>
      </c>
      <c r="P188">
        <v>16</v>
      </c>
      <c r="Q188" t="s">
        <v>882</v>
      </c>
      <c r="R188">
        <v>2021</v>
      </c>
      <c r="S188">
        <v>183</v>
      </c>
      <c r="T188" t="s">
        <v>31</v>
      </c>
      <c r="U188" t="s">
        <v>31</v>
      </c>
      <c r="V188" t="s">
        <v>31</v>
      </c>
      <c r="W188">
        <v>107553</v>
      </c>
      <c r="X188" t="s">
        <v>2969</v>
      </c>
      <c r="Y188" t="str">
        <f>HYPERLINK("http://dx.doi.org/10.1016/j.jip.2021.107553","http://dx.doi.org/10.1016/j.jip.2021.107553")</f>
        <v>http://dx.doi.org/10.1016/j.jip.2021.107553</v>
      </c>
      <c r="Z188" t="s">
        <v>2970</v>
      </c>
      <c r="AA188" t="s">
        <v>450</v>
      </c>
      <c r="AB188" t="s">
        <v>450</v>
      </c>
      <c r="AC188" t="s">
        <v>47</v>
      </c>
      <c r="AD188" t="s">
        <v>2971</v>
      </c>
      <c r="AE188" t="str">
        <f>HYPERLINK("https%3A%2F%2Fwww.webofscience.com%2Fwos%2Fwoscc%2Ffull-record%2FWOS:000661387300004","View Full Record in Web of Science")</f>
        <v>View Full Record in Web of Science</v>
      </c>
    </row>
    <row r="189" spans="1:31" ht="20.100000000000001" customHeight="1" x14ac:dyDescent="0.2">
      <c r="A189" t="s">
        <v>2972</v>
      </c>
      <c r="B189" t="s">
        <v>2973</v>
      </c>
      <c r="C189" t="s">
        <v>2974</v>
      </c>
      <c r="D189" t="s">
        <v>2975</v>
      </c>
      <c r="E189" t="s">
        <v>31</v>
      </c>
      <c r="F189" t="s">
        <v>2976</v>
      </c>
      <c r="G189" t="s">
        <v>2977</v>
      </c>
      <c r="H189" t="s">
        <v>2978</v>
      </c>
      <c r="I189" t="s">
        <v>2979</v>
      </c>
      <c r="J189" t="s">
        <v>2980</v>
      </c>
      <c r="L189" t="s">
        <v>2981</v>
      </c>
      <c r="M189" t="s">
        <v>2982</v>
      </c>
      <c r="N189" t="s">
        <v>2983</v>
      </c>
      <c r="O189" t="s">
        <v>2984</v>
      </c>
      <c r="P189">
        <v>16</v>
      </c>
      <c r="Q189" t="s">
        <v>1750</v>
      </c>
      <c r="R189">
        <v>2021</v>
      </c>
      <c r="S189">
        <v>97</v>
      </c>
      <c r="T189">
        <v>2</v>
      </c>
      <c r="U189">
        <v>281</v>
      </c>
      <c r="V189">
        <v>304</v>
      </c>
      <c r="W189" t="s">
        <v>31</v>
      </c>
      <c r="X189" t="s">
        <v>2985</v>
      </c>
      <c r="Y189" t="str">
        <f>HYPERLINK("http://dx.doi.org/10.5343/bms.2020.0027","http://dx.doi.org/10.5343/bms.2020.0027")</f>
        <v>http://dx.doi.org/10.5343/bms.2020.0027</v>
      </c>
      <c r="Z189" t="s">
        <v>31</v>
      </c>
      <c r="AA189" t="s">
        <v>431</v>
      </c>
      <c r="AB189" t="s">
        <v>431</v>
      </c>
      <c r="AC189" t="s">
        <v>47</v>
      </c>
      <c r="AD189" t="s">
        <v>2986</v>
      </c>
      <c r="AE189" t="str">
        <f>HYPERLINK("https%3A%2F%2Fwww.webofscience.com%2Fwos%2Fwoscc%2Ffull-record%2FWOS:000645897000002","View Full Record in Web of Science")</f>
        <v>View Full Record in Web of Science</v>
      </c>
    </row>
    <row r="190" spans="1:31" ht="20.100000000000001" customHeight="1" x14ac:dyDescent="0.2">
      <c r="A190" t="s">
        <v>2987</v>
      </c>
      <c r="B190" t="s">
        <v>2988</v>
      </c>
      <c r="C190" t="s">
        <v>2989</v>
      </c>
      <c r="D190" t="s">
        <v>2990</v>
      </c>
      <c r="E190" t="s">
        <v>2991</v>
      </c>
      <c r="F190" t="s">
        <v>31</v>
      </c>
      <c r="G190" t="s">
        <v>2992</v>
      </c>
      <c r="H190" t="s">
        <v>2993</v>
      </c>
      <c r="I190" t="s">
        <v>2994</v>
      </c>
      <c r="J190" t="s">
        <v>2995</v>
      </c>
      <c r="L190" t="s">
        <v>2996</v>
      </c>
      <c r="M190" t="s">
        <v>2997</v>
      </c>
      <c r="N190" t="s">
        <v>2998</v>
      </c>
      <c r="O190" t="s">
        <v>2999</v>
      </c>
      <c r="P190">
        <v>5</v>
      </c>
      <c r="Q190" t="s">
        <v>1750</v>
      </c>
      <c r="R190">
        <v>2021</v>
      </c>
      <c r="S190">
        <v>20</v>
      </c>
      <c r="T190">
        <v>2</v>
      </c>
      <c r="U190">
        <v>393</v>
      </c>
      <c r="V190">
        <v>401</v>
      </c>
      <c r="W190" t="s">
        <v>31</v>
      </c>
      <c r="X190" t="s">
        <v>3000</v>
      </c>
      <c r="Y190" t="str">
        <f>HYPERLINK("http://dx.doi.org/10.1007/s11802-021-4538-1","http://dx.doi.org/10.1007/s11802-021-4538-1")</f>
        <v>http://dx.doi.org/10.1007/s11802-021-4538-1</v>
      </c>
      <c r="Z190" t="s">
        <v>31</v>
      </c>
      <c r="AA190" t="s">
        <v>3001</v>
      </c>
      <c r="AB190" t="s">
        <v>3001</v>
      </c>
      <c r="AC190" t="s">
        <v>47</v>
      </c>
      <c r="AD190" t="s">
        <v>3002</v>
      </c>
      <c r="AE190" t="str">
        <f>HYPERLINK("https%3A%2F%2Fwww.webofscience.com%2Fwos%2Fwoscc%2Ffull-record%2FWOS:000626662500015","View Full Record in Web of Science")</f>
        <v>View Full Record in Web of Science</v>
      </c>
    </row>
    <row r="191" spans="1:31" ht="20.100000000000001" customHeight="1" x14ac:dyDescent="0.2">
      <c r="A191" t="s">
        <v>3003</v>
      </c>
      <c r="B191" t="s">
        <v>3004</v>
      </c>
      <c r="C191" t="s">
        <v>3005</v>
      </c>
      <c r="D191" t="s">
        <v>1642</v>
      </c>
      <c r="E191" t="s">
        <v>3006</v>
      </c>
      <c r="F191" t="s">
        <v>3007</v>
      </c>
      <c r="G191" t="s">
        <v>3008</v>
      </c>
      <c r="H191" t="s">
        <v>3009</v>
      </c>
      <c r="I191" t="s">
        <v>3010</v>
      </c>
      <c r="J191" t="s">
        <v>3011</v>
      </c>
      <c r="L191" t="s">
        <v>31</v>
      </c>
      <c r="M191" t="s">
        <v>3012</v>
      </c>
      <c r="N191" t="s">
        <v>3013</v>
      </c>
      <c r="O191" t="s">
        <v>3014</v>
      </c>
      <c r="P191">
        <v>19</v>
      </c>
      <c r="Q191" t="s">
        <v>216</v>
      </c>
      <c r="R191">
        <v>2021</v>
      </c>
      <c r="S191">
        <v>151</v>
      </c>
      <c r="T191" t="s">
        <v>31</v>
      </c>
      <c r="U191" t="s">
        <v>31</v>
      </c>
      <c r="V191" t="s">
        <v>31</v>
      </c>
      <c r="W191">
        <v>112119</v>
      </c>
      <c r="X191" t="s">
        <v>3015</v>
      </c>
      <c r="Y191" t="str">
        <f>HYPERLINK("http://dx.doi.org/10.1016/j.fct.2021.112119","http://dx.doi.org/10.1016/j.fct.2021.112119")</f>
        <v>http://dx.doi.org/10.1016/j.fct.2021.112119</v>
      </c>
      <c r="Z191" t="s">
        <v>3016</v>
      </c>
      <c r="AA191" t="s">
        <v>1654</v>
      </c>
      <c r="AB191" t="s">
        <v>1654</v>
      </c>
      <c r="AC191" t="s">
        <v>47</v>
      </c>
      <c r="AD191" t="s">
        <v>3017</v>
      </c>
      <c r="AE191" t="str">
        <f>HYPERLINK("https%3A%2F%2Fwww.webofscience.com%2Fwos%2Fwoscc%2Ffull-record%2FWOS:000642485100020","View Full Record in Web of Science")</f>
        <v>View Full Record in Web of Science</v>
      </c>
    </row>
    <row r="192" spans="1:31" ht="20.100000000000001" customHeight="1" x14ac:dyDescent="0.2">
      <c r="A192" t="s">
        <v>3018</v>
      </c>
      <c r="B192" t="s">
        <v>3019</v>
      </c>
      <c r="C192" t="s">
        <v>3020</v>
      </c>
      <c r="D192" t="s">
        <v>576</v>
      </c>
      <c r="E192" t="s">
        <v>3021</v>
      </c>
      <c r="F192" t="s">
        <v>3022</v>
      </c>
      <c r="G192" t="s">
        <v>3023</v>
      </c>
      <c r="H192" t="s">
        <v>3024</v>
      </c>
      <c r="I192" t="s">
        <v>3025</v>
      </c>
      <c r="J192" t="s">
        <v>3026</v>
      </c>
      <c r="L192" t="s">
        <v>3027</v>
      </c>
      <c r="M192" t="s">
        <v>3028</v>
      </c>
      <c r="N192" t="s">
        <v>3029</v>
      </c>
      <c r="O192" t="s">
        <v>3030</v>
      </c>
      <c r="P192">
        <v>6</v>
      </c>
      <c r="Q192" t="s">
        <v>718</v>
      </c>
      <c r="R192">
        <v>2021</v>
      </c>
      <c r="S192">
        <v>30</v>
      </c>
      <c r="T192">
        <v>5</v>
      </c>
      <c r="U192">
        <v>515</v>
      </c>
      <c r="V192">
        <v>526</v>
      </c>
      <c r="W192" t="s">
        <v>31</v>
      </c>
      <c r="X192" t="s">
        <v>3031</v>
      </c>
      <c r="Y192" t="str">
        <f>HYPERLINK("http://dx.doi.org/10.1111/fog.12534","http://dx.doi.org/10.1111/fog.12534")</f>
        <v>http://dx.doi.org/10.1111/fog.12534</v>
      </c>
      <c r="Z192" t="s">
        <v>3016</v>
      </c>
      <c r="AA192" t="s">
        <v>587</v>
      </c>
      <c r="AB192" t="s">
        <v>587</v>
      </c>
      <c r="AC192" t="s">
        <v>47</v>
      </c>
      <c r="AD192" t="s">
        <v>3032</v>
      </c>
      <c r="AE192" t="str">
        <f>HYPERLINK("https%3A%2F%2Fwww.webofscience.com%2Fwos%2Fwoscc%2Ffull-record%2FWOS:000629250700001","View Full Record in Web of Science")</f>
        <v>View Full Record in Web of Science</v>
      </c>
    </row>
    <row r="193" spans="1:31" ht="20.100000000000001" customHeight="1" x14ac:dyDescent="0.2">
      <c r="A193" t="s">
        <v>3033</v>
      </c>
      <c r="B193" t="s">
        <v>3034</v>
      </c>
      <c r="C193" t="s">
        <v>3035</v>
      </c>
      <c r="D193" t="s">
        <v>239</v>
      </c>
      <c r="E193" t="s">
        <v>3036</v>
      </c>
      <c r="F193" t="s">
        <v>31</v>
      </c>
      <c r="G193" t="s">
        <v>3037</v>
      </c>
      <c r="H193" t="s">
        <v>3038</v>
      </c>
      <c r="I193" t="s">
        <v>3039</v>
      </c>
      <c r="J193" t="s">
        <v>3040</v>
      </c>
      <c r="L193" t="s">
        <v>2098</v>
      </c>
      <c r="M193" t="s">
        <v>3041</v>
      </c>
      <c r="N193" t="s">
        <v>3042</v>
      </c>
      <c r="O193" t="s">
        <v>3043</v>
      </c>
      <c r="P193">
        <v>10</v>
      </c>
      <c r="Q193" t="s">
        <v>216</v>
      </c>
      <c r="R193">
        <v>2021</v>
      </c>
      <c r="S193">
        <v>11</v>
      </c>
      <c r="T193">
        <v>9</v>
      </c>
      <c r="U193">
        <v>3679</v>
      </c>
      <c r="V193">
        <v>3684</v>
      </c>
      <c r="W193" t="s">
        <v>31</v>
      </c>
      <c r="X193" t="s">
        <v>3044</v>
      </c>
      <c r="Y193" t="str">
        <f>HYPERLINK("http://dx.doi.org/10.1002/ece3.7328","http://dx.doi.org/10.1002/ece3.7328")</f>
        <v>http://dx.doi.org/10.1002/ece3.7328</v>
      </c>
      <c r="Z193" t="s">
        <v>3016</v>
      </c>
      <c r="AA193" t="s">
        <v>253</v>
      </c>
      <c r="AB193" t="s">
        <v>254</v>
      </c>
      <c r="AC193" t="s">
        <v>47</v>
      </c>
      <c r="AD193" t="s">
        <v>3045</v>
      </c>
      <c r="AE193" t="str">
        <f>HYPERLINK("https%3A%2F%2Fwww.webofscience.com%2Fwos%2Fwoscc%2Ffull-record%2FWOS:000625389900001","View Full Record in Web of Science")</f>
        <v>View Full Record in Web of Science</v>
      </c>
    </row>
    <row r="194" spans="1:31" ht="20.100000000000001" customHeight="1" x14ac:dyDescent="0.2">
      <c r="A194" t="s">
        <v>3046</v>
      </c>
      <c r="B194" t="s">
        <v>3047</v>
      </c>
      <c r="C194" t="s">
        <v>3048</v>
      </c>
      <c r="D194" t="s">
        <v>2042</v>
      </c>
      <c r="E194" t="s">
        <v>3049</v>
      </c>
      <c r="F194" t="s">
        <v>3050</v>
      </c>
      <c r="G194" t="s">
        <v>3051</v>
      </c>
      <c r="H194" t="s">
        <v>3052</v>
      </c>
      <c r="I194" t="s">
        <v>3053</v>
      </c>
      <c r="J194" t="s">
        <v>3054</v>
      </c>
      <c r="L194" t="s">
        <v>3055</v>
      </c>
      <c r="M194" t="s">
        <v>3056</v>
      </c>
      <c r="N194" t="s">
        <v>3057</v>
      </c>
      <c r="O194" t="s">
        <v>3058</v>
      </c>
      <c r="P194">
        <v>14</v>
      </c>
      <c r="Q194" t="s">
        <v>269</v>
      </c>
      <c r="R194">
        <v>2021</v>
      </c>
      <c r="S194">
        <v>224</v>
      </c>
      <c r="T194">
        <v>5</v>
      </c>
      <c r="U194" t="s">
        <v>31</v>
      </c>
      <c r="V194" t="s">
        <v>31</v>
      </c>
      <c r="W194" t="s">
        <v>3059</v>
      </c>
      <c r="X194" t="s">
        <v>3060</v>
      </c>
      <c r="Y194" t="str">
        <f>HYPERLINK("http://dx.doi.org/10.1242/jeb.237529","http://dx.doi.org/10.1242/jeb.237529")</f>
        <v>http://dx.doi.org/10.1242/jeb.237529</v>
      </c>
      <c r="Z194" t="s">
        <v>31</v>
      </c>
      <c r="AA194" t="s">
        <v>2055</v>
      </c>
      <c r="AB194" t="s">
        <v>2056</v>
      </c>
      <c r="AC194" t="s">
        <v>47</v>
      </c>
      <c r="AD194" t="s">
        <v>3061</v>
      </c>
      <c r="AE194" t="str">
        <f>HYPERLINK("https%3A%2F%2Fwww.webofscience.com%2Fwos%2Fwoscc%2Ffull-record%2FWOS:000629246600018","View Full Record in Web of Science")</f>
        <v>View Full Record in Web of Science</v>
      </c>
    </row>
    <row r="195" spans="1:31" ht="20.100000000000001" customHeight="1" x14ac:dyDescent="0.2">
      <c r="A195" t="s">
        <v>3062</v>
      </c>
      <c r="B195" t="s">
        <v>3063</v>
      </c>
      <c r="C195" t="s">
        <v>3064</v>
      </c>
      <c r="D195" t="s">
        <v>3065</v>
      </c>
      <c r="E195" t="s">
        <v>3066</v>
      </c>
      <c r="F195" t="s">
        <v>3067</v>
      </c>
      <c r="G195" t="s">
        <v>3068</v>
      </c>
      <c r="H195" t="s">
        <v>3069</v>
      </c>
      <c r="I195" t="s">
        <v>3070</v>
      </c>
      <c r="J195" t="s">
        <v>3071</v>
      </c>
      <c r="L195" t="s">
        <v>3072</v>
      </c>
      <c r="M195" t="s">
        <v>3073</v>
      </c>
      <c r="N195" t="s">
        <v>3074</v>
      </c>
      <c r="O195" t="s">
        <v>3075</v>
      </c>
      <c r="P195">
        <v>3</v>
      </c>
      <c r="Q195" t="s">
        <v>269</v>
      </c>
      <c r="R195">
        <v>2021</v>
      </c>
      <c r="S195">
        <v>85</v>
      </c>
      <c r="T195">
        <v>1</v>
      </c>
      <c r="U195">
        <v>29</v>
      </c>
      <c r="V195" t="s">
        <v>2484</v>
      </c>
      <c r="W195" t="s">
        <v>31</v>
      </c>
      <c r="X195" t="s">
        <v>3076</v>
      </c>
      <c r="Y195" t="str">
        <f>HYPERLINK("http://dx.doi.org/10.3989/scimar.05065.003","http://dx.doi.org/10.3989/scimar.05065.003")</f>
        <v>http://dx.doi.org/10.3989/scimar.05065.003</v>
      </c>
      <c r="Z195" t="s">
        <v>31</v>
      </c>
      <c r="AA195" t="s">
        <v>119</v>
      </c>
      <c r="AB195" t="s">
        <v>119</v>
      </c>
      <c r="AC195" t="s">
        <v>47</v>
      </c>
      <c r="AD195" t="s">
        <v>3077</v>
      </c>
      <c r="AE195" t="str">
        <f>HYPERLINK("https%3A%2F%2Fwww.webofscience.com%2Fwos%2Fwoscc%2Ffull-record%2FWOS:000655312200003","View Full Record in Web of Science")</f>
        <v>View Full Record in Web of Science</v>
      </c>
    </row>
    <row r="196" spans="1:31" ht="20.100000000000001" customHeight="1" x14ac:dyDescent="0.2">
      <c r="A196" t="s">
        <v>3078</v>
      </c>
      <c r="B196" t="s">
        <v>3079</v>
      </c>
      <c r="C196" t="s">
        <v>3080</v>
      </c>
      <c r="D196" t="s">
        <v>207</v>
      </c>
      <c r="E196" t="s">
        <v>3081</v>
      </c>
      <c r="F196" t="s">
        <v>3082</v>
      </c>
      <c r="G196" t="s">
        <v>3083</v>
      </c>
      <c r="H196" t="s">
        <v>3084</v>
      </c>
      <c r="I196" t="s">
        <v>3085</v>
      </c>
      <c r="J196" t="s">
        <v>3086</v>
      </c>
      <c r="L196" t="s">
        <v>3087</v>
      </c>
      <c r="M196" t="s">
        <v>3088</v>
      </c>
      <c r="N196" t="s">
        <v>3089</v>
      </c>
      <c r="O196" t="s">
        <v>3090</v>
      </c>
      <c r="P196">
        <v>38</v>
      </c>
      <c r="Q196" t="s">
        <v>269</v>
      </c>
      <c r="R196">
        <v>2021</v>
      </c>
      <c r="S196">
        <v>235</v>
      </c>
      <c r="T196" t="s">
        <v>31</v>
      </c>
      <c r="U196" t="s">
        <v>31</v>
      </c>
      <c r="V196" t="s">
        <v>31</v>
      </c>
      <c r="W196">
        <v>105820</v>
      </c>
      <c r="X196" t="s">
        <v>3091</v>
      </c>
      <c r="Y196" t="str">
        <f>HYPERLINK("http://dx.doi.org/10.1016/j.fishres.2020.105820","http://dx.doi.org/10.1016/j.fishres.2020.105820")</f>
        <v>http://dx.doi.org/10.1016/j.fishres.2020.105820</v>
      </c>
      <c r="Z196" t="s">
        <v>31</v>
      </c>
      <c r="AA196" t="s">
        <v>218</v>
      </c>
      <c r="AB196" t="s">
        <v>218</v>
      </c>
      <c r="AC196" t="s">
        <v>47</v>
      </c>
      <c r="AD196" t="s">
        <v>3092</v>
      </c>
      <c r="AE196" t="str">
        <f>HYPERLINK("https%3A%2F%2Fwww.webofscience.com%2Fwos%2Fwoscc%2Ffull-record%2FWOS:000605480500002","View Full Record in Web of Science")</f>
        <v>View Full Record in Web of Science</v>
      </c>
    </row>
    <row r="197" spans="1:31" ht="20.100000000000001" customHeight="1" x14ac:dyDescent="0.2">
      <c r="A197" t="s">
        <v>3093</v>
      </c>
      <c r="B197" t="s">
        <v>3094</v>
      </c>
      <c r="C197" t="s">
        <v>3095</v>
      </c>
      <c r="D197" t="s">
        <v>276</v>
      </c>
      <c r="E197" t="s">
        <v>3096</v>
      </c>
      <c r="F197" t="s">
        <v>3097</v>
      </c>
      <c r="G197" t="s">
        <v>3098</v>
      </c>
      <c r="H197" t="s">
        <v>3099</v>
      </c>
      <c r="I197" t="s">
        <v>995</v>
      </c>
      <c r="J197" t="s">
        <v>3100</v>
      </c>
      <c r="L197" t="s">
        <v>1523</v>
      </c>
      <c r="M197" t="s">
        <v>3101</v>
      </c>
      <c r="N197" t="s">
        <v>3102</v>
      </c>
      <c r="O197" t="s">
        <v>3103</v>
      </c>
      <c r="P197">
        <v>15</v>
      </c>
      <c r="Q197" t="s">
        <v>169</v>
      </c>
      <c r="R197">
        <v>2021</v>
      </c>
      <c r="S197">
        <v>539</v>
      </c>
      <c r="T197" t="s">
        <v>31</v>
      </c>
      <c r="U197" t="s">
        <v>31</v>
      </c>
      <c r="V197" t="s">
        <v>31</v>
      </c>
      <c r="W197">
        <v>151537</v>
      </c>
      <c r="X197" t="s">
        <v>3104</v>
      </c>
      <c r="Y197" t="str">
        <f>HYPERLINK("http://dx.doi.org/10.1016/j.jembe.2021.151537","http://dx.doi.org/10.1016/j.jembe.2021.151537")</f>
        <v>http://dx.doi.org/10.1016/j.jembe.2021.151537</v>
      </c>
      <c r="Z197" t="s">
        <v>3105</v>
      </c>
      <c r="AA197" t="s">
        <v>287</v>
      </c>
      <c r="AB197" t="s">
        <v>288</v>
      </c>
      <c r="AC197" t="s">
        <v>47</v>
      </c>
      <c r="AD197" t="s">
        <v>3106</v>
      </c>
      <c r="AE197" t="str">
        <f>HYPERLINK("https%3A%2F%2Fwww.webofscience.com%2Fwos%2Fwoscc%2Ffull-record%2FWOS:000645098600001","View Full Record in Web of Science")</f>
        <v>View Full Record in Web of Science</v>
      </c>
    </row>
    <row r="198" spans="1:31" ht="20.100000000000001" customHeight="1" x14ac:dyDescent="0.2">
      <c r="A198" t="s">
        <v>3107</v>
      </c>
      <c r="B198" t="s">
        <v>3108</v>
      </c>
      <c r="C198" t="s">
        <v>3109</v>
      </c>
      <c r="D198" t="s">
        <v>3110</v>
      </c>
      <c r="E198" t="s">
        <v>3111</v>
      </c>
      <c r="F198" t="s">
        <v>31</v>
      </c>
      <c r="G198" t="s">
        <v>3112</v>
      </c>
      <c r="H198" t="s">
        <v>3113</v>
      </c>
      <c r="I198" t="s">
        <v>3114</v>
      </c>
      <c r="J198" t="s">
        <v>3115</v>
      </c>
      <c r="L198" t="s">
        <v>31</v>
      </c>
      <c r="M198" t="s">
        <v>3116</v>
      </c>
      <c r="N198" t="s">
        <v>3117</v>
      </c>
      <c r="O198" t="s">
        <v>3118</v>
      </c>
      <c r="P198">
        <v>2</v>
      </c>
      <c r="Q198" t="s">
        <v>216</v>
      </c>
      <c r="R198">
        <v>2021</v>
      </c>
      <c r="S198">
        <v>24</v>
      </c>
      <c r="T198">
        <v>3</v>
      </c>
      <c r="U198">
        <v>218</v>
      </c>
      <c r="V198">
        <v>228</v>
      </c>
      <c r="W198" t="s">
        <v>31</v>
      </c>
      <c r="X198" t="s">
        <v>3119</v>
      </c>
      <c r="Y198" t="str">
        <f>HYPERLINK("http://dx.doi.org/10.1111/vop.12872","http://dx.doi.org/10.1111/vop.12872")</f>
        <v>http://dx.doi.org/10.1111/vop.12872</v>
      </c>
      <c r="Z198" t="s">
        <v>3105</v>
      </c>
      <c r="AA198" t="s">
        <v>350</v>
      </c>
      <c r="AB198" t="s">
        <v>350</v>
      </c>
      <c r="AC198" t="s">
        <v>47</v>
      </c>
      <c r="AD198" t="s">
        <v>3120</v>
      </c>
      <c r="AE198" t="str">
        <f>HYPERLINK("https%3A%2F%2Fwww.webofscience.com%2Fwos%2Fwoscc%2Ffull-record%2FWOS:000618820700001","View Full Record in Web of Science")</f>
        <v>View Full Record in Web of Science</v>
      </c>
    </row>
    <row r="199" spans="1:31" ht="20.100000000000001" customHeight="1" x14ac:dyDescent="0.2">
      <c r="A199" t="s">
        <v>3121</v>
      </c>
      <c r="B199" t="s">
        <v>3122</v>
      </c>
      <c r="C199" t="s">
        <v>3123</v>
      </c>
      <c r="D199" t="s">
        <v>223</v>
      </c>
      <c r="E199" t="s">
        <v>31</v>
      </c>
      <c r="F199" t="s">
        <v>3124</v>
      </c>
      <c r="G199" t="s">
        <v>3125</v>
      </c>
      <c r="H199" t="s">
        <v>3126</v>
      </c>
      <c r="I199" t="s">
        <v>3127</v>
      </c>
      <c r="J199" t="s">
        <v>3128</v>
      </c>
      <c r="L199" t="s">
        <v>3129</v>
      </c>
      <c r="M199" t="s">
        <v>3130</v>
      </c>
      <c r="N199" t="s">
        <v>3131</v>
      </c>
      <c r="O199" t="s">
        <v>3132</v>
      </c>
      <c r="P199">
        <v>41</v>
      </c>
      <c r="Q199" t="s">
        <v>3133</v>
      </c>
      <c r="R199">
        <v>2021</v>
      </c>
      <c r="S199">
        <v>11</v>
      </c>
      <c r="T199">
        <v>1</v>
      </c>
      <c r="U199" t="s">
        <v>31</v>
      </c>
      <c r="V199" t="s">
        <v>31</v>
      </c>
      <c r="W199">
        <v>3930</v>
      </c>
      <c r="X199" t="s">
        <v>3134</v>
      </c>
      <c r="Y199" t="str">
        <f>HYPERLINK("http://dx.doi.org/10.1038/s41598-021-83457-w","http://dx.doi.org/10.1038/s41598-021-83457-w")</f>
        <v>http://dx.doi.org/10.1038/s41598-021-83457-w</v>
      </c>
      <c r="Z199" t="s">
        <v>31</v>
      </c>
      <c r="AA199" t="s">
        <v>101</v>
      </c>
      <c r="AB199" t="s">
        <v>102</v>
      </c>
      <c r="AC199" t="s">
        <v>47</v>
      </c>
      <c r="AD199" t="s">
        <v>3135</v>
      </c>
      <c r="AE199" t="str">
        <f>HYPERLINK("https%3A%2F%2Fwww.webofscience.com%2Fwos%2Fwoscc%2Ffull-record%2FWOS:000626728100024","View Full Record in Web of Science")</f>
        <v>View Full Record in Web of Science</v>
      </c>
    </row>
    <row r="200" spans="1:31" ht="20.100000000000001" customHeight="1" x14ac:dyDescent="0.2">
      <c r="A200" t="s">
        <v>3136</v>
      </c>
      <c r="B200" t="s">
        <v>3137</v>
      </c>
      <c r="C200" t="s">
        <v>3138</v>
      </c>
      <c r="D200" t="s">
        <v>1530</v>
      </c>
      <c r="E200" t="s">
        <v>3139</v>
      </c>
      <c r="F200" t="s">
        <v>3140</v>
      </c>
      <c r="G200" t="s">
        <v>3141</v>
      </c>
      <c r="H200" t="s">
        <v>3142</v>
      </c>
      <c r="I200" t="s">
        <v>3143</v>
      </c>
      <c r="J200" t="s">
        <v>3144</v>
      </c>
      <c r="L200" t="s">
        <v>3145</v>
      </c>
      <c r="M200" t="s">
        <v>3146</v>
      </c>
      <c r="N200" t="s">
        <v>3147</v>
      </c>
      <c r="O200" t="s">
        <v>3148</v>
      </c>
      <c r="P200">
        <v>7</v>
      </c>
      <c r="Q200" t="s">
        <v>447</v>
      </c>
      <c r="R200">
        <v>2021</v>
      </c>
      <c r="S200">
        <v>42</v>
      </c>
      <c r="T200" t="s">
        <v>31</v>
      </c>
      <c r="U200" t="s">
        <v>31</v>
      </c>
      <c r="V200" t="s">
        <v>31</v>
      </c>
      <c r="W200">
        <v>101643</v>
      </c>
      <c r="X200" t="s">
        <v>3149</v>
      </c>
      <c r="Y200" t="str">
        <f>HYPERLINK("http://dx.doi.org/10.1016/j.rsma.2021.101643","http://dx.doi.org/10.1016/j.rsma.2021.101643")</f>
        <v>http://dx.doi.org/10.1016/j.rsma.2021.101643</v>
      </c>
      <c r="Z200" t="s">
        <v>3105</v>
      </c>
      <c r="AA200" t="s">
        <v>287</v>
      </c>
      <c r="AB200" t="s">
        <v>288</v>
      </c>
      <c r="AC200" t="s">
        <v>47</v>
      </c>
      <c r="AD200" t="s">
        <v>3150</v>
      </c>
      <c r="AE200" t="str">
        <f>HYPERLINK("https%3A%2F%2Fwww.webofscience.com%2Fwos%2Fwoscc%2Ffull-record%2FWOS:000640498100002","View Full Record in Web of Science")</f>
        <v>View Full Record in Web of Science</v>
      </c>
    </row>
    <row r="201" spans="1:31" ht="20.100000000000001" customHeight="1" x14ac:dyDescent="0.2">
      <c r="A201" t="s">
        <v>3151</v>
      </c>
      <c r="B201" t="s">
        <v>3152</v>
      </c>
      <c r="C201" t="s">
        <v>3153</v>
      </c>
      <c r="D201" t="s">
        <v>1816</v>
      </c>
      <c r="E201" t="s">
        <v>3154</v>
      </c>
      <c r="F201" t="s">
        <v>3155</v>
      </c>
      <c r="G201" t="s">
        <v>3156</v>
      </c>
      <c r="H201" t="s">
        <v>3157</v>
      </c>
      <c r="I201" t="s">
        <v>3158</v>
      </c>
      <c r="J201" t="s">
        <v>1648</v>
      </c>
      <c r="L201" t="s">
        <v>1649</v>
      </c>
      <c r="M201" t="s">
        <v>3012</v>
      </c>
      <c r="N201" t="s">
        <v>3013</v>
      </c>
      <c r="O201" t="s">
        <v>3159</v>
      </c>
      <c r="P201">
        <v>16</v>
      </c>
      <c r="Q201" t="s">
        <v>447</v>
      </c>
      <c r="R201">
        <v>2021</v>
      </c>
      <c r="S201">
        <v>86</v>
      </c>
      <c r="T201">
        <v>2</v>
      </c>
      <c r="U201">
        <v>587</v>
      </c>
      <c r="V201">
        <v>601</v>
      </c>
      <c r="W201" t="s">
        <v>31</v>
      </c>
      <c r="X201" t="s">
        <v>3160</v>
      </c>
      <c r="Y201" t="str">
        <f>HYPERLINK("http://dx.doi.org/10.1111/1750-3841.15591","http://dx.doi.org/10.1111/1750-3841.15591")</f>
        <v>http://dx.doi.org/10.1111/1750-3841.15591</v>
      </c>
      <c r="Z201" t="s">
        <v>3161</v>
      </c>
      <c r="AA201" t="s">
        <v>46</v>
      </c>
      <c r="AB201" t="s">
        <v>46</v>
      </c>
      <c r="AC201" t="s">
        <v>47</v>
      </c>
      <c r="AD201" t="s">
        <v>3162</v>
      </c>
      <c r="AE201" t="str">
        <f>HYPERLINK("https%3A%2F%2Fwww.webofscience.com%2Fwos%2Fwoscc%2Ffull-record%2FWOS:000608412000001","View Full Record in Web of Science")</f>
        <v>View Full Record in Web of Science</v>
      </c>
    </row>
    <row r="202" spans="1:31" ht="20.100000000000001" customHeight="1" x14ac:dyDescent="0.2">
      <c r="A202" t="s">
        <v>3163</v>
      </c>
      <c r="B202" t="s">
        <v>3164</v>
      </c>
      <c r="C202" t="s">
        <v>3165</v>
      </c>
      <c r="D202" t="s">
        <v>3166</v>
      </c>
      <c r="E202" t="s">
        <v>3167</v>
      </c>
      <c r="F202" t="s">
        <v>3168</v>
      </c>
      <c r="G202" t="s">
        <v>3169</v>
      </c>
      <c r="H202" t="s">
        <v>3170</v>
      </c>
      <c r="I202" t="s">
        <v>3171</v>
      </c>
      <c r="J202" t="s">
        <v>3172</v>
      </c>
      <c r="L202" t="s">
        <v>3173</v>
      </c>
      <c r="M202" t="s">
        <v>31</v>
      </c>
      <c r="N202" t="s">
        <v>31</v>
      </c>
      <c r="O202" t="s">
        <v>31</v>
      </c>
      <c r="P202">
        <v>3</v>
      </c>
      <c r="Q202" t="s">
        <v>31</v>
      </c>
      <c r="R202">
        <v>2021</v>
      </c>
      <c r="S202">
        <v>62</v>
      </c>
      <c r="T202">
        <v>1</v>
      </c>
      <c r="U202">
        <v>51</v>
      </c>
      <c r="V202">
        <v>58</v>
      </c>
      <c r="W202" t="s">
        <v>31</v>
      </c>
      <c r="X202" t="s">
        <v>3174</v>
      </c>
      <c r="Y202" t="str">
        <f>HYPERLINK("http://dx.doi.org/10.21411/CBM.A.82118310","http://dx.doi.org/10.21411/CBM.A.82118310")</f>
        <v>http://dx.doi.org/10.21411/CBM.A.82118310</v>
      </c>
      <c r="Z202" t="s">
        <v>31</v>
      </c>
      <c r="AA202" t="s">
        <v>119</v>
      </c>
      <c r="AB202" t="s">
        <v>119</v>
      </c>
      <c r="AC202" t="s">
        <v>47</v>
      </c>
      <c r="AD202" t="s">
        <v>3175</v>
      </c>
      <c r="AE202" t="str">
        <f>HYPERLINK("https%3A%2F%2Fwww.webofscience.com%2Fwos%2Fwoscc%2Ffull-record%2FWOS:000680506000006","View Full Record in Web of Science")</f>
        <v>View Full Record in Web of Science</v>
      </c>
    </row>
    <row r="203" spans="1:31" ht="20.100000000000001" customHeight="1" x14ac:dyDescent="0.2">
      <c r="A203" t="s">
        <v>3176</v>
      </c>
      <c r="B203" t="s">
        <v>3177</v>
      </c>
      <c r="C203" t="s">
        <v>3178</v>
      </c>
      <c r="D203" t="s">
        <v>2473</v>
      </c>
      <c r="E203" t="s">
        <v>31</v>
      </c>
      <c r="F203" t="s">
        <v>3179</v>
      </c>
      <c r="G203" t="s">
        <v>3180</v>
      </c>
      <c r="H203" t="s">
        <v>3181</v>
      </c>
      <c r="I203" t="s">
        <v>3182</v>
      </c>
      <c r="J203" t="s">
        <v>3183</v>
      </c>
      <c r="L203" t="s">
        <v>3184</v>
      </c>
      <c r="M203" t="s">
        <v>3185</v>
      </c>
      <c r="N203" t="s">
        <v>3185</v>
      </c>
      <c r="O203" t="s">
        <v>3186</v>
      </c>
      <c r="P203">
        <v>53</v>
      </c>
      <c r="Q203" t="s">
        <v>3187</v>
      </c>
      <c r="R203">
        <v>2020</v>
      </c>
      <c r="S203">
        <v>30</v>
      </c>
      <c r="T203">
        <v>21</v>
      </c>
      <c r="U203">
        <v>4322</v>
      </c>
      <c r="V203" t="s">
        <v>2484</v>
      </c>
      <c r="W203" t="s">
        <v>31</v>
      </c>
      <c r="X203" t="s">
        <v>3188</v>
      </c>
      <c r="Y203" t="str">
        <f>HYPERLINK("http://dx.doi.org/10.1016/j.cub.2020.08.037","http://dx.doi.org/10.1016/j.cub.2020.08.037")</f>
        <v>http://dx.doi.org/10.1016/j.cub.2020.08.037</v>
      </c>
      <c r="Z203" t="s">
        <v>31</v>
      </c>
      <c r="AA203" t="s">
        <v>2487</v>
      </c>
      <c r="AB203" t="s">
        <v>2488</v>
      </c>
      <c r="AC203" t="s">
        <v>47</v>
      </c>
      <c r="AD203" t="s">
        <v>3189</v>
      </c>
      <c r="AE203" t="str">
        <f>HYPERLINK("https%3A%2F%2Fwww.webofscience.com%2Fwos%2Fwoscc%2Ffull-record%2FWOS:000585930500040","View Full Record in Web of Science")</f>
        <v>View Full Record in Web of Science</v>
      </c>
    </row>
    <row r="204" spans="1:31" ht="20.100000000000001" customHeight="1" x14ac:dyDescent="0.2">
      <c r="A204" t="s">
        <v>3190</v>
      </c>
      <c r="B204" t="s">
        <v>3191</v>
      </c>
      <c r="C204" t="s">
        <v>3192</v>
      </c>
      <c r="D204" t="s">
        <v>3193</v>
      </c>
      <c r="E204" t="s">
        <v>3194</v>
      </c>
      <c r="F204" t="s">
        <v>3195</v>
      </c>
      <c r="G204" t="s">
        <v>3196</v>
      </c>
      <c r="H204" t="s">
        <v>3197</v>
      </c>
      <c r="I204" t="s">
        <v>3198</v>
      </c>
      <c r="J204" t="s">
        <v>3199</v>
      </c>
      <c r="L204" t="s">
        <v>3200</v>
      </c>
      <c r="M204" t="s">
        <v>3201</v>
      </c>
      <c r="N204" t="s">
        <v>3202</v>
      </c>
      <c r="O204" t="s">
        <v>3203</v>
      </c>
      <c r="P204">
        <v>1</v>
      </c>
      <c r="Q204" t="s">
        <v>62</v>
      </c>
      <c r="R204">
        <v>2020</v>
      </c>
      <c r="S204">
        <v>21</v>
      </c>
      <c r="T204">
        <v>6</v>
      </c>
      <c r="U204" t="s">
        <v>31</v>
      </c>
      <c r="V204" t="s">
        <v>31</v>
      </c>
      <c r="W204" t="s">
        <v>3204</v>
      </c>
      <c r="X204" t="s">
        <v>3205</v>
      </c>
      <c r="Y204" t="str">
        <f>HYPERLINK("http://dx.doi.org/10.4142/jvs.2020.21.e86","http://dx.doi.org/10.4142/jvs.2020.21.e86")</f>
        <v>http://dx.doi.org/10.4142/jvs.2020.21.e86</v>
      </c>
      <c r="Z204" t="s">
        <v>31</v>
      </c>
      <c r="AA204" t="s">
        <v>350</v>
      </c>
      <c r="AB204" t="s">
        <v>350</v>
      </c>
      <c r="AC204" t="s">
        <v>47</v>
      </c>
      <c r="AD204" t="s">
        <v>3206</v>
      </c>
      <c r="AE204" t="str">
        <f>HYPERLINK("https%3A%2F%2Fwww.webofscience.com%2Fwos%2Fwoscc%2Ffull-record%2FWOS:000596948500008","View Full Record in Web of Science")</f>
        <v>View Full Record in Web of Science</v>
      </c>
    </row>
    <row r="205" spans="1:31" ht="20.100000000000001" customHeight="1" x14ac:dyDescent="0.2">
      <c r="A205" t="s">
        <v>3207</v>
      </c>
      <c r="B205" t="s">
        <v>3208</v>
      </c>
      <c r="C205" t="s">
        <v>3209</v>
      </c>
      <c r="D205" t="s">
        <v>367</v>
      </c>
      <c r="E205" t="s">
        <v>3210</v>
      </c>
      <c r="F205" t="s">
        <v>3211</v>
      </c>
      <c r="G205" t="s">
        <v>3212</v>
      </c>
      <c r="H205" t="s">
        <v>3213</v>
      </c>
      <c r="I205" t="s">
        <v>3214</v>
      </c>
      <c r="J205" t="s">
        <v>3215</v>
      </c>
      <c r="L205" t="s">
        <v>3216</v>
      </c>
      <c r="M205" t="s">
        <v>3217</v>
      </c>
      <c r="N205" t="s">
        <v>3218</v>
      </c>
      <c r="O205" t="s">
        <v>3219</v>
      </c>
      <c r="P205">
        <v>21</v>
      </c>
      <c r="Q205" t="s">
        <v>62</v>
      </c>
      <c r="R205">
        <v>2020</v>
      </c>
      <c r="S205">
        <v>10</v>
      </c>
      <c r="T205">
        <v>11</v>
      </c>
      <c r="U205" t="s">
        <v>31</v>
      </c>
      <c r="V205" t="s">
        <v>31</v>
      </c>
      <c r="W205">
        <v>2038</v>
      </c>
      <c r="X205" t="s">
        <v>3220</v>
      </c>
      <c r="Y205" t="str">
        <f>HYPERLINK("http://dx.doi.org/10.3390/ani10112038","http://dx.doi.org/10.3390/ani10112038")</f>
        <v>http://dx.doi.org/10.3390/ani10112038</v>
      </c>
      <c r="Z205" t="s">
        <v>31</v>
      </c>
      <c r="AA205" t="s">
        <v>380</v>
      </c>
      <c r="AB205" t="s">
        <v>381</v>
      </c>
      <c r="AC205" t="s">
        <v>47</v>
      </c>
      <c r="AD205" t="s">
        <v>3221</v>
      </c>
      <c r="AE205" t="str">
        <f>HYPERLINK("https%3A%2F%2Fwww.webofscience.com%2Fwos%2Fwoscc%2Ffull-record%2FWOS:000592877400001","View Full Record in Web of Science")</f>
        <v>View Full Record in Web of Science</v>
      </c>
    </row>
    <row r="206" spans="1:31" ht="20.100000000000001" customHeight="1" x14ac:dyDescent="0.2">
      <c r="A206" t="s">
        <v>3222</v>
      </c>
      <c r="B206" t="s">
        <v>3223</v>
      </c>
      <c r="C206" t="s">
        <v>3224</v>
      </c>
      <c r="D206" t="s">
        <v>3225</v>
      </c>
      <c r="E206" t="s">
        <v>3226</v>
      </c>
      <c r="F206" t="s">
        <v>3227</v>
      </c>
      <c r="G206" t="s">
        <v>3228</v>
      </c>
      <c r="H206" t="s">
        <v>3229</v>
      </c>
      <c r="I206" t="s">
        <v>3230</v>
      </c>
      <c r="J206" t="s">
        <v>3231</v>
      </c>
      <c r="L206" t="s">
        <v>3232</v>
      </c>
      <c r="M206" t="s">
        <v>3233</v>
      </c>
      <c r="N206" t="s">
        <v>3234</v>
      </c>
      <c r="O206" t="s">
        <v>3235</v>
      </c>
      <c r="P206">
        <v>12</v>
      </c>
      <c r="Q206" t="s">
        <v>62</v>
      </c>
      <c r="R206">
        <v>2020</v>
      </c>
      <c r="S206">
        <v>9</v>
      </c>
      <c r="T206">
        <v>11</v>
      </c>
      <c r="U206" t="s">
        <v>31</v>
      </c>
      <c r="V206" t="s">
        <v>31</v>
      </c>
      <c r="W206">
        <v>757</v>
      </c>
      <c r="X206" t="s">
        <v>3236</v>
      </c>
      <c r="Y206" t="str">
        <f>HYPERLINK("http://dx.doi.org/10.3390/antibiotics9110757","http://dx.doi.org/10.3390/antibiotics9110757")</f>
        <v>http://dx.doi.org/10.3390/antibiotics9110757</v>
      </c>
      <c r="Z206" t="s">
        <v>31</v>
      </c>
      <c r="AA206" t="s">
        <v>3237</v>
      </c>
      <c r="AB206" t="s">
        <v>3237</v>
      </c>
      <c r="AC206" t="s">
        <v>47</v>
      </c>
      <c r="AD206" t="s">
        <v>3238</v>
      </c>
      <c r="AE206" t="str">
        <f>HYPERLINK("https%3A%2F%2Fwww.webofscience.com%2Fwos%2Fwoscc%2Ffull-record%2FWOS:000592820200001","View Full Record in Web of Science")</f>
        <v>View Full Record in Web of Science</v>
      </c>
    </row>
    <row r="207" spans="1:31" ht="20.100000000000001" customHeight="1" x14ac:dyDescent="0.2">
      <c r="A207" t="s">
        <v>3239</v>
      </c>
      <c r="B207" t="s">
        <v>3240</v>
      </c>
      <c r="C207" t="s">
        <v>3241</v>
      </c>
      <c r="D207" t="s">
        <v>1591</v>
      </c>
      <c r="E207" t="s">
        <v>3242</v>
      </c>
      <c r="F207" t="s">
        <v>3243</v>
      </c>
      <c r="G207" t="s">
        <v>3244</v>
      </c>
      <c r="H207" t="s">
        <v>3245</v>
      </c>
      <c r="I207" t="s">
        <v>3246</v>
      </c>
      <c r="J207" t="s">
        <v>3247</v>
      </c>
      <c r="L207" t="s">
        <v>2873</v>
      </c>
      <c r="M207" t="s">
        <v>3248</v>
      </c>
      <c r="N207" t="s">
        <v>3249</v>
      </c>
      <c r="O207" t="s">
        <v>3250</v>
      </c>
      <c r="P207">
        <v>6</v>
      </c>
      <c r="Q207" t="s">
        <v>3251</v>
      </c>
      <c r="R207">
        <v>2020</v>
      </c>
      <c r="S207">
        <v>11</v>
      </c>
      <c r="T207" t="s">
        <v>31</v>
      </c>
      <c r="U207" t="s">
        <v>31</v>
      </c>
      <c r="V207" t="s">
        <v>31</v>
      </c>
      <c r="W207">
        <v>1112</v>
      </c>
      <c r="X207" t="s">
        <v>3252</v>
      </c>
      <c r="Y207" t="str">
        <f>HYPERLINK("http://dx.doi.org/10.3389/fphys.2020.01112","http://dx.doi.org/10.3389/fphys.2020.01112")</f>
        <v>http://dx.doi.org/10.3389/fphys.2020.01112</v>
      </c>
      <c r="Z207" t="s">
        <v>31</v>
      </c>
      <c r="AA207" t="s">
        <v>1592</v>
      </c>
      <c r="AB207" t="s">
        <v>1592</v>
      </c>
      <c r="AC207" t="s">
        <v>47</v>
      </c>
      <c r="AD207" t="s">
        <v>3253</v>
      </c>
      <c r="AE207" t="str">
        <f>HYPERLINK("https%3A%2F%2Fwww.webofscience.com%2Fwos%2Fwoscc%2Ffull-record%2FWOS:000576442000001","View Full Record in Web of Science")</f>
        <v>View Full Record in Web of Science</v>
      </c>
    </row>
    <row r="208" spans="1:31" ht="20.100000000000001" customHeight="1" x14ac:dyDescent="0.2">
      <c r="A208" t="s">
        <v>3254</v>
      </c>
      <c r="B208" t="s">
        <v>3255</v>
      </c>
      <c r="C208" t="s">
        <v>3256</v>
      </c>
      <c r="D208" t="s">
        <v>223</v>
      </c>
      <c r="E208" t="s">
        <v>31</v>
      </c>
      <c r="F208" t="s">
        <v>3257</v>
      </c>
      <c r="G208" t="s">
        <v>3258</v>
      </c>
      <c r="H208" t="s">
        <v>3259</v>
      </c>
      <c r="I208" t="s">
        <v>1600</v>
      </c>
      <c r="J208" t="s">
        <v>3260</v>
      </c>
      <c r="L208" t="s">
        <v>3261</v>
      </c>
      <c r="M208" t="s">
        <v>3262</v>
      </c>
      <c r="N208" t="s">
        <v>3262</v>
      </c>
      <c r="O208" t="s">
        <v>3263</v>
      </c>
      <c r="P208">
        <v>7</v>
      </c>
      <c r="Q208" t="s">
        <v>3264</v>
      </c>
      <c r="R208">
        <v>2020</v>
      </c>
      <c r="S208">
        <v>10</v>
      </c>
      <c r="T208">
        <v>1</v>
      </c>
      <c r="U208" t="s">
        <v>31</v>
      </c>
      <c r="V208" t="s">
        <v>31</v>
      </c>
      <c r="W208">
        <v>15261</v>
      </c>
      <c r="X208" t="s">
        <v>3265</v>
      </c>
      <c r="Y208" t="str">
        <f>HYPERLINK("http://dx.doi.org/10.1038/s41598-020-72151-y","http://dx.doi.org/10.1038/s41598-020-72151-y")</f>
        <v>http://dx.doi.org/10.1038/s41598-020-72151-y</v>
      </c>
      <c r="Z208" t="s">
        <v>31</v>
      </c>
      <c r="AA208" t="s">
        <v>101</v>
      </c>
      <c r="AB208" t="s">
        <v>102</v>
      </c>
      <c r="AC208" t="s">
        <v>47</v>
      </c>
      <c r="AD208" t="s">
        <v>3266</v>
      </c>
      <c r="AE208" t="str">
        <f>HYPERLINK("https%3A%2F%2Fwww.webofscience.com%2Fwos%2Fwoscc%2Ffull-record%2FWOS:000573758500005","View Full Record in Web of Science")</f>
        <v>View Full Record in Web of Science</v>
      </c>
    </row>
    <row r="209" spans="1:31" ht="20.100000000000001" customHeight="1" x14ac:dyDescent="0.2">
      <c r="A209" t="s">
        <v>3267</v>
      </c>
      <c r="B209" t="s">
        <v>3268</v>
      </c>
      <c r="C209" t="s">
        <v>3269</v>
      </c>
      <c r="D209" t="s">
        <v>3270</v>
      </c>
      <c r="E209" t="s">
        <v>3271</v>
      </c>
      <c r="F209" t="s">
        <v>3272</v>
      </c>
      <c r="G209" t="s">
        <v>3273</v>
      </c>
      <c r="H209" t="s">
        <v>3274</v>
      </c>
      <c r="I209" t="s">
        <v>3275</v>
      </c>
      <c r="J209" t="s">
        <v>3276</v>
      </c>
      <c r="L209" t="s">
        <v>2146</v>
      </c>
      <c r="M209" t="s">
        <v>3277</v>
      </c>
      <c r="N209" t="s">
        <v>3278</v>
      </c>
      <c r="O209" t="s">
        <v>3279</v>
      </c>
      <c r="P209">
        <v>7</v>
      </c>
      <c r="Q209" t="s">
        <v>62</v>
      </c>
      <c r="R209">
        <v>2020</v>
      </c>
      <c r="S209">
        <v>44</v>
      </c>
      <c r="T209">
        <v>11</v>
      </c>
      <c r="U209" t="s">
        <v>31</v>
      </c>
      <c r="V209" t="s">
        <v>31</v>
      </c>
      <c r="W209" t="s">
        <v>3280</v>
      </c>
      <c r="X209" t="s">
        <v>3281</v>
      </c>
      <c r="Y209" t="str">
        <f>HYPERLINK("http://dx.doi.org/10.1111/jfbc.13467","http://dx.doi.org/10.1111/jfbc.13467")</f>
        <v>http://dx.doi.org/10.1111/jfbc.13467</v>
      </c>
      <c r="Z209" t="s">
        <v>3282</v>
      </c>
      <c r="AA209" t="s">
        <v>3283</v>
      </c>
      <c r="AB209" t="s">
        <v>3283</v>
      </c>
      <c r="AC209" t="s">
        <v>47</v>
      </c>
      <c r="AD209" t="s">
        <v>3284</v>
      </c>
      <c r="AE209" t="str">
        <f>HYPERLINK("https%3A%2F%2Fwww.webofscience.com%2Fwos%2Fwoscc%2Ffull-record%2FWOS:000570154900001","View Full Record in Web of Science")</f>
        <v>View Full Record in Web of Science</v>
      </c>
    </row>
    <row r="210" spans="1:31" ht="20.100000000000001" customHeight="1" x14ac:dyDescent="0.2">
      <c r="A210" t="s">
        <v>3285</v>
      </c>
      <c r="B210" t="s">
        <v>3286</v>
      </c>
      <c r="C210" t="s">
        <v>3287</v>
      </c>
      <c r="D210" t="s">
        <v>3288</v>
      </c>
      <c r="E210" t="s">
        <v>3289</v>
      </c>
      <c r="F210" t="s">
        <v>3290</v>
      </c>
      <c r="G210" t="s">
        <v>3291</v>
      </c>
      <c r="H210" t="s">
        <v>3292</v>
      </c>
      <c r="I210" t="s">
        <v>3293</v>
      </c>
      <c r="J210" t="s">
        <v>3294</v>
      </c>
      <c r="L210" t="s">
        <v>3295</v>
      </c>
      <c r="M210" t="s">
        <v>31</v>
      </c>
      <c r="N210" t="s">
        <v>31</v>
      </c>
      <c r="O210" t="s">
        <v>31</v>
      </c>
      <c r="P210">
        <v>8</v>
      </c>
      <c r="Q210" t="s">
        <v>535</v>
      </c>
      <c r="R210">
        <v>2020</v>
      </c>
      <c r="S210">
        <v>195</v>
      </c>
      <c r="T210" t="s">
        <v>31</v>
      </c>
      <c r="U210" t="s">
        <v>31</v>
      </c>
      <c r="V210" t="s">
        <v>31</v>
      </c>
      <c r="W210">
        <v>105275</v>
      </c>
      <c r="X210" t="s">
        <v>3296</v>
      </c>
      <c r="Y210" t="str">
        <f>HYPERLINK("http://dx.doi.org/10.1016/j.ocecoaman.2020.105275","http://dx.doi.org/10.1016/j.ocecoaman.2020.105275")</f>
        <v>http://dx.doi.org/10.1016/j.ocecoaman.2020.105275</v>
      </c>
      <c r="Z210" t="s">
        <v>31</v>
      </c>
      <c r="AA210" t="s">
        <v>3297</v>
      </c>
      <c r="AB210" t="s">
        <v>3297</v>
      </c>
      <c r="AC210" t="s">
        <v>47</v>
      </c>
      <c r="AD210" t="s">
        <v>3298</v>
      </c>
      <c r="AE210" t="str">
        <f>HYPERLINK("https%3A%2F%2Fwww.webofscience.com%2Fwos%2Fwoscc%2Ffull-record%2FWOS:000571870500004","View Full Record in Web of Science")</f>
        <v>View Full Record in Web of Science</v>
      </c>
    </row>
    <row r="211" spans="1:31" ht="20.100000000000001" customHeight="1" x14ac:dyDescent="0.2">
      <c r="A211" t="s">
        <v>3299</v>
      </c>
      <c r="B211" t="s">
        <v>3300</v>
      </c>
      <c r="C211" t="s">
        <v>3301</v>
      </c>
      <c r="D211" t="s">
        <v>707</v>
      </c>
      <c r="E211" t="s">
        <v>3302</v>
      </c>
      <c r="F211" t="s">
        <v>3303</v>
      </c>
      <c r="G211" t="s">
        <v>3304</v>
      </c>
      <c r="H211" t="s">
        <v>3305</v>
      </c>
      <c r="I211" t="s">
        <v>3306</v>
      </c>
      <c r="J211" t="s">
        <v>3307</v>
      </c>
      <c r="L211" t="s">
        <v>3308</v>
      </c>
      <c r="M211" t="s">
        <v>3309</v>
      </c>
      <c r="N211" t="s">
        <v>3310</v>
      </c>
      <c r="O211" t="s">
        <v>3311</v>
      </c>
      <c r="P211">
        <v>27</v>
      </c>
      <c r="Q211" t="s">
        <v>718</v>
      </c>
      <c r="R211">
        <v>2020</v>
      </c>
      <c r="S211">
        <v>119</v>
      </c>
      <c r="T211" t="s">
        <v>31</v>
      </c>
      <c r="U211" t="s">
        <v>31</v>
      </c>
      <c r="V211" t="s">
        <v>31</v>
      </c>
      <c r="W211">
        <v>104098</v>
      </c>
      <c r="X211" t="s">
        <v>3312</v>
      </c>
      <c r="Y211" t="str">
        <f>HYPERLINK("http://dx.doi.org/10.1016/j.marpol.2020.104098","http://dx.doi.org/10.1016/j.marpol.2020.104098")</f>
        <v>http://dx.doi.org/10.1016/j.marpol.2020.104098</v>
      </c>
      <c r="Z211" t="s">
        <v>31</v>
      </c>
      <c r="AA211" t="s">
        <v>720</v>
      </c>
      <c r="AB211" t="s">
        <v>721</v>
      </c>
      <c r="AC211" t="s">
        <v>47</v>
      </c>
      <c r="AD211" t="s">
        <v>3313</v>
      </c>
      <c r="AE211" t="str">
        <f>HYPERLINK("https%3A%2F%2Fwww.webofscience.com%2Fwos%2Fwoscc%2Ffull-record%2FWOS:000564689000016","View Full Record in Web of Science")</f>
        <v>View Full Record in Web of Science</v>
      </c>
    </row>
    <row r="212" spans="1:31" ht="20.100000000000001" customHeight="1" x14ac:dyDescent="0.2">
      <c r="A212" t="s">
        <v>3314</v>
      </c>
      <c r="B212" t="s">
        <v>3315</v>
      </c>
      <c r="C212" t="s">
        <v>3316</v>
      </c>
      <c r="D212" t="s">
        <v>3317</v>
      </c>
      <c r="E212" t="s">
        <v>3318</v>
      </c>
      <c r="F212" t="s">
        <v>3319</v>
      </c>
      <c r="G212" t="s">
        <v>3320</v>
      </c>
      <c r="H212" t="s">
        <v>3321</v>
      </c>
      <c r="I212" t="s">
        <v>3322</v>
      </c>
      <c r="J212" t="s">
        <v>3323</v>
      </c>
      <c r="L212" t="s">
        <v>924</v>
      </c>
      <c r="M212" t="s">
        <v>3324</v>
      </c>
      <c r="N212" t="s">
        <v>3325</v>
      </c>
      <c r="O212" t="s">
        <v>3326</v>
      </c>
      <c r="P212">
        <v>40</v>
      </c>
      <c r="Q212" t="s">
        <v>62</v>
      </c>
      <c r="R212">
        <v>2020</v>
      </c>
      <c r="S212">
        <v>20</v>
      </c>
      <c r="T212">
        <v>6</v>
      </c>
      <c r="U212">
        <v>1572</v>
      </c>
      <c r="V212">
        <v>1582</v>
      </c>
      <c r="W212" t="s">
        <v>31</v>
      </c>
      <c r="X212" t="s">
        <v>3327</v>
      </c>
      <c r="Y212" t="str">
        <f>HYPERLINK("http://dx.doi.org/10.1111/1755-0998.13216","http://dx.doi.org/10.1111/1755-0998.13216")</f>
        <v>http://dx.doi.org/10.1111/1755-0998.13216</v>
      </c>
      <c r="Z212" t="s">
        <v>3328</v>
      </c>
      <c r="AA212" t="s">
        <v>1403</v>
      </c>
      <c r="AB212" t="s">
        <v>1404</v>
      </c>
      <c r="AC212" t="s">
        <v>47</v>
      </c>
      <c r="AD212" t="s">
        <v>3329</v>
      </c>
      <c r="AE212" t="str">
        <f>HYPERLINK("https%3A%2F%2Fwww.webofscience.com%2Fwos%2Fwoscc%2Ffull-record%2FWOS:000560747100001","View Full Record in Web of Science")</f>
        <v>View Full Record in Web of Science</v>
      </c>
    </row>
    <row r="213" spans="1:31" ht="20.100000000000001" customHeight="1" x14ac:dyDescent="0.2">
      <c r="A213" t="s">
        <v>3330</v>
      </c>
      <c r="B213" t="s">
        <v>3331</v>
      </c>
      <c r="C213" t="s">
        <v>3332</v>
      </c>
      <c r="D213" t="s">
        <v>743</v>
      </c>
      <c r="E213" t="s">
        <v>3333</v>
      </c>
      <c r="F213" t="s">
        <v>3334</v>
      </c>
      <c r="G213" t="s">
        <v>3335</v>
      </c>
      <c r="H213" t="s">
        <v>3336</v>
      </c>
      <c r="I213" t="s">
        <v>3337</v>
      </c>
      <c r="J213" t="s">
        <v>3338</v>
      </c>
      <c r="L213" t="s">
        <v>3339</v>
      </c>
      <c r="M213" t="s">
        <v>3340</v>
      </c>
      <c r="N213" t="s">
        <v>3341</v>
      </c>
      <c r="O213" t="s">
        <v>3342</v>
      </c>
      <c r="P213">
        <v>33</v>
      </c>
      <c r="Q213" t="s">
        <v>79</v>
      </c>
      <c r="R213">
        <v>2020</v>
      </c>
      <c r="S213">
        <v>18</v>
      </c>
      <c r="T213">
        <v>8</v>
      </c>
      <c r="U213" t="s">
        <v>31</v>
      </c>
      <c r="V213" t="s">
        <v>31</v>
      </c>
      <c r="W213">
        <v>380</v>
      </c>
      <c r="X213" t="s">
        <v>3343</v>
      </c>
      <c r="Y213" t="str">
        <f>HYPERLINK("http://dx.doi.org/10.3390/md18080380","http://dx.doi.org/10.3390/md18080380")</f>
        <v>http://dx.doi.org/10.3390/md18080380</v>
      </c>
      <c r="Z213" t="s">
        <v>31</v>
      </c>
      <c r="AA213" t="s">
        <v>754</v>
      </c>
      <c r="AB213" t="s">
        <v>755</v>
      </c>
      <c r="AC213" t="s">
        <v>47</v>
      </c>
      <c r="AD213" t="s">
        <v>3344</v>
      </c>
      <c r="AE213" t="str">
        <f>HYPERLINK("https%3A%2F%2Fwww.webofscience.com%2Fwos%2Fwoscc%2Ffull-record%2FWOS:000567253100001","View Full Record in Web of Science")</f>
        <v>View Full Record in Web of Science</v>
      </c>
    </row>
    <row r="214" spans="1:31" ht="20.100000000000001" customHeight="1" x14ac:dyDescent="0.2">
      <c r="A214" t="s">
        <v>3345</v>
      </c>
      <c r="B214" t="s">
        <v>3346</v>
      </c>
      <c r="C214" t="s">
        <v>3347</v>
      </c>
      <c r="D214" t="s">
        <v>3348</v>
      </c>
      <c r="E214" t="s">
        <v>3349</v>
      </c>
      <c r="F214" t="s">
        <v>3350</v>
      </c>
      <c r="G214" t="s">
        <v>3351</v>
      </c>
      <c r="H214" t="s">
        <v>3352</v>
      </c>
      <c r="I214" t="s">
        <v>3353</v>
      </c>
      <c r="J214" t="s">
        <v>3354</v>
      </c>
      <c r="L214" t="s">
        <v>3355</v>
      </c>
      <c r="M214" t="s">
        <v>3356</v>
      </c>
      <c r="N214" t="s">
        <v>3357</v>
      </c>
      <c r="O214" t="s">
        <v>3358</v>
      </c>
      <c r="P214">
        <v>9</v>
      </c>
      <c r="Q214" t="s">
        <v>62</v>
      </c>
      <c r="R214">
        <v>2020</v>
      </c>
      <c r="S214">
        <v>13</v>
      </c>
      <c r="T214">
        <v>11</v>
      </c>
      <c r="U214">
        <v>2111</v>
      </c>
      <c r="V214">
        <v>2127</v>
      </c>
      <c r="W214" t="s">
        <v>31</v>
      </c>
      <c r="X214" t="s">
        <v>3359</v>
      </c>
      <c r="Y214" t="str">
        <f>HYPERLINK("http://dx.doi.org/10.1007/s12161-020-01825-0","http://dx.doi.org/10.1007/s12161-020-01825-0")</f>
        <v>http://dx.doi.org/10.1007/s12161-020-01825-0</v>
      </c>
      <c r="Z214" t="s">
        <v>3360</v>
      </c>
      <c r="AA214" t="s">
        <v>46</v>
      </c>
      <c r="AB214" t="s">
        <v>46</v>
      </c>
      <c r="AC214" t="s">
        <v>47</v>
      </c>
      <c r="AD214" t="s">
        <v>3361</v>
      </c>
      <c r="AE214" t="str">
        <f>HYPERLINK("https%3A%2F%2Fwww.webofscience.com%2Fwos%2Fwoscc%2Ffull-record%2FWOS:000554721600001","View Full Record in Web of Science")</f>
        <v>View Full Record in Web of Science</v>
      </c>
    </row>
    <row r="215" spans="1:31" ht="20.100000000000001" customHeight="1" x14ac:dyDescent="0.2">
      <c r="A215" t="s">
        <v>3362</v>
      </c>
      <c r="B215" t="s">
        <v>3363</v>
      </c>
      <c r="C215" t="s">
        <v>3364</v>
      </c>
      <c r="D215" t="s">
        <v>1591</v>
      </c>
      <c r="E215" t="s">
        <v>3365</v>
      </c>
      <c r="F215" t="s">
        <v>3366</v>
      </c>
      <c r="G215" t="s">
        <v>3367</v>
      </c>
      <c r="H215" t="s">
        <v>3368</v>
      </c>
      <c r="I215" t="s">
        <v>3369</v>
      </c>
      <c r="J215" t="s">
        <v>3370</v>
      </c>
      <c r="L215" t="s">
        <v>3371</v>
      </c>
      <c r="M215" t="s">
        <v>3372</v>
      </c>
      <c r="N215" t="s">
        <v>3373</v>
      </c>
      <c r="O215" t="s">
        <v>3374</v>
      </c>
      <c r="P215">
        <v>15</v>
      </c>
      <c r="Q215" t="s">
        <v>2240</v>
      </c>
      <c r="R215">
        <v>2020</v>
      </c>
      <c r="S215">
        <v>11</v>
      </c>
      <c r="T215" t="s">
        <v>31</v>
      </c>
      <c r="U215" t="s">
        <v>31</v>
      </c>
      <c r="V215" t="s">
        <v>31</v>
      </c>
      <c r="W215">
        <v>760</v>
      </c>
      <c r="X215" t="s">
        <v>3375</v>
      </c>
      <c r="Y215" t="str">
        <f>HYPERLINK("http://dx.doi.org/10.3389/fphys.2020.00760","http://dx.doi.org/10.3389/fphys.2020.00760")</f>
        <v>http://dx.doi.org/10.3389/fphys.2020.00760</v>
      </c>
      <c r="Z215" t="s">
        <v>31</v>
      </c>
      <c r="AA215" t="s">
        <v>1592</v>
      </c>
      <c r="AB215" t="s">
        <v>1592</v>
      </c>
      <c r="AC215" t="s">
        <v>47</v>
      </c>
      <c r="AD215" t="s">
        <v>3376</v>
      </c>
      <c r="AE215" t="str">
        <f>HYPERLINK("https%3A%2F%2Fwww.webofscience.com%2Fwos%2Fwoscc%2Ffull-record%2FWOS:000556444700001","View Full Record in Web of Science")</f>
        <v>View Full Record in Web of Science</v>
      </c>
    </row>
    <row r="216" spans="1:31" ht="20.100000000000001" customHeight="1" x14ac:dyDescent="0.2">
      <c r="A216" t="s">
        <v>3377</v>
      </c>
      <c r="B216" t="s">
        <v>3378</v>
      </c>
      <c r="C216" t="s">
        <v>3379</v>
      </c>
      <c r="D216" t="s">
        <v>3380</v>
      </c>
      <c r="E216" t="s">
        <v>3381</v>
      </c>
      <c r="F216" t="s">
        <v>3382</v>
      </c>
      <c r="G216" t="s">
        <v>3383</v>
      </c>
      <c r="H216" t="s">
        <v>3384</v>
      </c>
      <c r="I216" t="s">
        <v>3385</v>
      </c>
      <c r="J216" t="s">
        <v>3386</v>
      </c>
      <c r="L216" t="s">
        <v>3387</v>
      </c>
      <c r="M216" t="s">
        <v>3388</v>
      </c>
      <c r="N216" t="s">
        <v>3389</v>
      </c>
      <c r="O216" t="s">
        <v>3390</v>
      </c>
      <c r="P216">
        <v>9</v>
      </c>
      <c r="Q216" t="s">
        <v>2240</v>
      </c>
      <c r="R216">
        <v>2020</v>
      </c>
      <c r="S216">
        <v>747</v>
      </c>
      <c r="T216" t="s">
        <v>31</v>
      </c>
      <c r="U216" t="s">
        <v>31</v>
      </c>
      <c r="V216" t="s">
        <v>31</v>
      </c>
      <c r="W216">
        <v>144670</v>
      </c>
      <c r="X216" t="s">
        <v>3391</v>
      </c>
      <c r="Y216" t="str">
        <f>HYPERLINK("http://dx.doi.org/10.1016/j.gene.2020.144670","http://dx.doi.org/10.1016/j.gene.2020.144670")</f>
        <v>http://dx.doi.org/10.1016/j.gene.2020.144670</v>
      </c>
      <c r="Z216" t="s">
        <v>31</v>
      </c>
      <c r="AA216" t="s">
        <v>1262</v>
      </c>
      <c r="AB216" t="s">
        <v>1262</v>
      </c>
      <c r="AC216" t="s">
        <v>47</v>
      </c>
      <c r="AD216" t="s">
        <v>3392</v>
      </c>
      <c r="AE216" t="str">
        <f>HYPERLINK("https%3A%2F%2Fwww.webofscience.com%2Fwos%2Fwoscc%2Ffull-record%2FWOS:000530712100010","View Full Record in Web of Science")</f>
        <v>View Full Record in Web of Science</v>
      </c>
    </row>
    <row r="217" spans="1:31" ht="20.100000000000001" customHeight="1" x14ac:dyDescent="0.2">
      <c r="A217" t="s">
        <v>3393</v>
      </c>
      <c r="B217" t="s">
        <v>3394</v>
      </c>
      <c r="C217" t="s">
        <v>3395</v>
      </c>
      <c r="D217" t="s">
        <v>223</v>
      </c>
      <c r="E217" t="s">
        <v>31</v>
      </c>
      <c r="F217" t="s">
        <v>3396</v>
      </c>
      <c r="G217" t="s">
        <v>3397</v>
      </c>
      <c r="H217" t="s">
        <v>3398</v>
      </c>
      <c r="I217" t="s">
        <v>3399</v>
      </c>
      <c r="J217" t="s">
        <v>3400</v>
      </c>
      <c r="L217" t="s">
        <v>3401</v>
      </c>
      <c r="M217" t="s">
        <v>3402</v>
      </c>
      <c r="N217" t="s">
        <v>3402</v>
      </c>
      <c r="O217" t="s">
        <v>3403</v>
      </c>
      <c r="P217">
        <v>25</v>
      </c>
      <c r="Q217" t="s">
        <v>117</v>
      </c>
      <c r="R217">
        <v>2020</v>
      </c>
      <c r="S217">
        <v>10</v>
      </c>
      <c r="T217">
        <v>1</v>
      </c>
      <c r="U217" t="s">
        <v>31</v>
      </c>
      <c r="V217" t="s">
        <v>31</v>
      </c>
      <c r="W217">
        <v>11011</v>
      </c>
      <c r="X217" t="s">
        <v>3404</v>
      </c>
      <c r="Y217" t="str">
        <f>HYPERLINK("http://dx.doi.org/10.1038/s41598-020-67858-x","http://dx.doi.org/10.1038/s41598-020-67858-x")</f>
        <v>http://dx.doi.org/10.1038/s41598-020-67858-x</v>
      </c>
      <c r="Z217" t="s">
        <v>31</v>
      </c>
      <c r="AA217" t="s">
        <v>101</v>
      </c>
      <c r="AB217" t="s">
        <v>102</v>
      </c>
      <c r="AC217" t="s">
        <v>47</v>
      </c>
      <c r="AD217" t="s">
        <v>3405</v>
      </c>
      <c r="AE217" t="str">
        <f>HYPERLINK("https%3A%2F%2Fwww.webofscience.com%2Fwos%2Fwoscc%2Ffull-record%2FWOS:000546538300009","View Full Record in Web of Science")</f>
        <v>View Full Record in Web of Science</v>
      </c>
    </row>
    <row r="218" spans="1:31" ht="20.100000000000001" customHeight="1" x14ac:dyDescent="0.2">
      <c r="A218" t="s">
        <v>3406</v>
      </c>
      <c r="B218" t="s">
        <v>3407</v>
      </c>
      <c r="C218" t="s">
        <v>3408</v>
      </c>
      <c r="D218" t="s">
        <v>624</v>
      </c>
      <c r="E218" t="s">
        <v>3409</v>
      </c>
      <c r="F218" t="s">
        <v>3410</v>
      </c>
      <c r="G218" t="s">
        <v>3411</v>
      </c>
      <c r="H218" t="s">
        <v>3412</v>
      </c>
      <c r="I218" t="s">
        <v>1521</v>
      </c>
      <c r="J218" t="s">
        <v>3100</v>
      </c>
      <c r="L218" t="s">
        <v>1523</v>
      </c>
      <c r="M218" t="s">
        <v>3413</v>
      </c>
      <c r="N218" t="s">
        <v>3414</v>
      </c>
      <c r="O218" t="s">
        <v>3415</v>
      </c>
      <c r="P218">
        <v>3</v>
      </c>
      <c r="Q218" t="s">
        <v>882</v>
      </c>
      <c r="R218">
        <v>2020</v>
      </c>
      <c r="S218">
        <v>17</v>
      </c>
      <c r="T218" t="s">
        <v>31</v>
      </c>
      <c r="U218" t="s">
        <v>31</v>
      </c>
      <c r="V218" t="s">
        <v>31</v>
      </c>
      <c r="W218">
        <v>100330</v>
      </c>
      <c r="X218" t="s">
        <v>3416</v>
      </c>
      <c r="Y218" t="str">
        <f>HYPERLINK("http://dx.doi.org/10.1016/j.aqrep.2020.100330","http://dx.doi.org/10.1016/j.aqrep.2020.100330")</f>
        <v>http://dx.doi.org/10.1016/j.aqrep.2020.100330</v>
      </c>
      <c r="Z218" t="s">
        <v>31</v>
      </c>
      <c r="AA218" t="s">
        <v>218</v>
      </c>
      <c r="AB218" t="s">
        <v>218</v>
      </c>
      <c r="AC218" t="s">
        <v>47</v>
      </c>
      <c r="AD218" t="s">
        <v>3417</v>
      </c>
      <c r="AE218" t="str">
        <f>HYPERLINK("https%3A%2F%2Fwww.webofscience.com%2Fwos%2Fwoscc%2Ffull-record%2FWOS:000544610700004","View Full Record in Web of Science")</f>
        <v>View Full Record in Web of Science</v>
      </c>
    </row>
    <row r="219" spans="1:31" ht="20.100000000000001" customHeight="1" x14ac:dyDescent="0.2">
      <c r="A219" t="s">
        <v>3418</v>
      </c>
      <c r="B219" t="s">
        <v>3419</v>
      </c>
      <c r="C219" t="s">
        <v>3420</v>
      </c>
      <c r="D219" t="s">
        <v>3421</v>
      </c>
      <c r="E219" t="s">
        <v>3422</v>
      </c>
      <c r="F219" t="s">
        <v>3423</v>
      </c>
      <c r="G219" t="s">
        <v>3424</v>
      </c>
      <c r="H219" t="s">
        <v>3425</v>
      </c>
      <c r="I219" t="s">
        <v>3426</v>
      </c>
      <c r="J219" t="s">
        <v>3427</v>
      </c>
      <c r="L219" t="s">
        <v>3428</v>
      </c>
      <c r="M219" t="s">
        <v>3429</v>
      </c>
      <c r="N219" t="s">
        <v>3430</v>
      </c>
      <c r="O219" t="s">
        <v>3431</v>
      </c>
      <c r="P219">
        <v>4</v>
      </c>
      <c r="Q219" t="s">
        <v>718</v>
      </c>
      <c r="R219">
        <v>2020</v>
      </c>
      <c r="S219">
        <v>51</v>
      </c>
      <c r="T219">
        <v>9</v>
      </c>
      <c r="U219">
        <v>3751</v>
      </c>
      <c r="V219">
        <v>3759</v>
      </c>
      <c r="W219" t="s">
        <v>31</v>
      </c>
      <c r="X219" t="s">
        <v>3432</v>
      </c>
      <c r="Y219" t="str">
        <f>HYPERLINK("http://dx.doi.org/10.1111/are.14725","http://dx.doi.org/10.1111/are.14725")</f>
        <v>http://dx.doi.org/10.1111/are.14725</v>
      </c>
      <c r="Z219" t="s">
        <v>3433</v>
      </c>
      <c r="AA219" t="s">
        <v>218</v>
      </c>
      <c r="AB219" t="s">
        <v>218</v>
      </c>
      <c r="AC219" t="s">
        <v>47</v>
      </c>
      <c r="AD219" t="s">
        <v>3434</v>
      </c>
      <c r="AE219" t="str">
        <f>HYPERLINK("https%3A%2F%2Fwww.webofscience.com%2Fwos%2Fwoscc%2Ffull-record%2FWOS:000539827400001","View Full Record in Web of Science")</f>
        <v>View Full Record in Web of Science</v>
      </c>
    </row>
    <row r="220" spans="1:31" ht="20.100000000000001" customHeight="1" x14ac:dyDescent="0.2">
      <c r="A220" t="s">
        <v>3435</v>
      </c>
      <c r="B220" t="s">
        <v>3436</v>
      </c>
      <c r="C220" t="s">
        <v>3437</v>
      </c>
      <c r="D220" t="s">
        <v>3438</v>
      </c>
      <c r="E220" t="s">
        <v>31</v>
      </c>
      <c r="F220" t="s">
        <v>31</v>
      </c>
      <c r="G220" t="s">
        <v>31</v>
      </c>
      <c r="H220" t="s">
        <v>3439</v>
      </c>
      <c r="I220" t="s">
        <v>3440</v>
      </c>
      <c r="J220" t="s">
        <v>3441</v>
      </c>
      <c r="L220" t="s">
        <v>31</v>
      </c>
      <c r="M220" t="s">
        <v>31</v>
      </c>
      <c r="N220" t="s">
        <v>31</v>
      </c>
      <c r="O220" t="s">
        <v>31</v>
      </c>
      <c r="P220">
        <v>0</v>
      </c>
      <c r="Q220" t="s">
        <v>3442</v>
      </c>
      <c r="R220">
        <v>2020</v>
      </c>
      <c r="S220">
        <v>74</v>
      </c>
      <c r="T220">
        <v>2</v>
      </c>
      <c r="U220">
        <v>448</v>
      </c>
      <c r="V220">
        <v>450</v>
      </c>
      <c r="W220" t="s">
        <v>31</v>
      </c>
      <c r="X220" t="s">
        <v>31</v>
      </c>
      <c r="Y220" t="s">
        <v>31</v>
      </c>
      <c r="Z220" t="s">
        <v>31</v>
      </c>
      <c r="AA220" t="s">
        <v>3443</v>
      </c>
      <c r="AB220" t="s">
        <v>3444</v>
      </c>
      <c r="AC220" t="s">
        <v>47</v>
      </c>
      <c r="AD220" t="s">
        <v>3445</v>
      </c>
      <c r="AE220" t="str">
        <f>HYPERLINK("https%3A%2F%2Fwww.webofscience.com%2Fwos%2Fwoscc%2Ffull-record%2FWOS:000540319700022","View Full Record in Web of Science")</f>
        <v>View Full Record in Web of Science</v>
      </c>
    </row>
    <row r="221" spans="1:31" ht="20.100000000000001" customHeight="1" x14ac:dyDescent="0.2">
      <c r="A221" t="s">
        <v>3446</v>
      </c>
      <c r="B221" t="s">
        <v>3447</v>
      </c>
      <c r="C221" t="s">
        <v>3448</v>
      </c>
      <c r="D221" t="s">
        <v>3065</v>
      </c>
      <c r="E221" t="s">
        <v>3449</v>
      </c>
      <c r="F221" t="s">
        <v>3450</v>
      </c>
      <c r="G221" t="s">
        <v>3451</v>
      </c>
      <c r="H221" t="s">
        <v>3452</v>
      </c>
      <c r="I221" t="s">
        <v>3453</v>
      </c>
      <c r="J221" t="s">
        <v>3454</v>
      </c>
      <c r="L221" t="s">
        <v>3455</v>
      </c>
      <c r="M221" t="s">
        <v>3456</v>
      </c>
      <c r="N221" t="s">
        <v>3457</v>
      </c>
      <c r="O221" t="s">
        <v>3458</v>
      </c>
      <c r="P221">
        <v>15</v>
      </c>
      <c r="Q221" t="s">
        <v>169</v>
      </c>
      <c r="R221">
        <v>2020</v>
      </c>
      <c r="S221">
        <v>84</v>
      </c>
      <c r="T221">
        <v>2</v>
      </c>
      <c r="U221">
        <v>133</v>
      </c>
      <c r="V221">
        <v>142</v>
      </c>
      <c r="W221" t="s">
        <v>31</v>
      </c>
      <c r="X221" t="s">
        <v>3459</v>
      </c>
      <c r="Y221" t="str">
        <f>HYPERLINK("http://dx.doi.org/10.3989/scimar.05007.01A","http://dx.doi.org/10.3989/scimar.05007.01A")</f>
        <v>http://dx.doi.org/10.3989/scimar.05007.01A</v>
      </c>
      <c r="Z221" t="s">
        <v>31</v>
      </c>
      <c r="AA221" t="s">
        <v>119</v>
      </c>
      <c r="AB221" t="s">
        <v>119</v>
      </c>
      <c r="AC221" t="s">
        <v>47</v>
      </c>
      <c r="AD221" t="s">
        <v>3460</v>
      </c>
      <c r="AE221" t="str">
        <f>HYPERLINK("https%3A%2F%2Fwww.webofscience.com%2Fwos%2Fwoscc%2Ffull-record%2FWOS:000539067100001","View Full Record in Web of Science")</f>
        <v>View Full Record in Web of Science</v>
      </c>
    </row>
    <row r="222" spans="1:31" ht="20.100000000000001" customHeight="1" x14ac:dyDescent="0.2">
      <c r="A222" t="s">
        <v>3461</v>
      </c>
      <c r="B222" t="s">
        <v>3462</v>
      </c>
      <c r="C222" t="s">
        <v>3463</v>
      </c>
      <c r="D222" t="s">
        <v>3464</v>
      </c>
      <c r="E222" t="s">
        <v>3465</v>
      </c>
      <c r="F222" t="s">
        <v>3466</v>
      </c>
      <c r="G222" t="s">
        <v>3467</v>
      </c>
      <c r="H222" t="s">
        <v>3468</v>
      </c>
      <c r="I222" t="s">
        <v>3469</v>
      </c>
      <c r="J222" t="s">
        <v>3470</v>
      </c>
      <c r="L222" t="s">
        <v>815</v>
      </c>
      <c r="M222" t="s">
        <v>2780</v>
      </c>
      <c r="N222" t="s">
        <v>2781</v>
      </c>
      <c r="O222" t="s">
        <v>3471</v>
      </c>
      <c r="P222">
        <v>9</v>
      </c>
      <c r="Q222" t="s">
        <v>1466</v>
      </c>
      <c r="R222">
        <v>2020</v>
      </c>
      <c r="S222">
        <v>55</v>
      </c>
      <c r="T222">
        <v>10</v>
      </c>
      <c r="U222">
        <v>3246</v>
      </c>
      <c r="V222">
        <v>3253</v>
      </c>
      <c r="W222" t="s">
        <v>31</v>
      </c>
      <c r="X222" t="s">
        <v>3472</v>
      </c>
      <c r="Y222" t="str">
        <f>HYPERLINK("http://dx.doi.org/10.1111/ijfs.14587","http://dx.doi.org/10.1111/ijfs.14587")</f>
        <v>http://dx.doi.org/10.1111/ijfs.14587</v>
      </c>
      <c r="Z222" t="s">
        <v>3473</v>
      </c>
      <c r="AA222" t="s">
        <v>46</v>
      </c>
      <c r="AB222" t="s">
        <v>46</v>
      </c>
      <c r="AC222" t="s">
        <v>47</v>
      </c>
      <c r="AD222" t="s">
        <v>3474</v>
      </c>
      <c r="AE222" t="str">
        <f>HYPERLINK("https%3A%2F%2Fwww.webofscience.com%2Fwos%2Fwoscc%2Ffull-record%2FWOS:000528481100001","View Full Record in Web of Science")</f>
        <v>View Full Record in Web of Science</v>
      </c>
    </row>
    <row r="223" spans="1:31" ht="20.100000000000001" customHeight="1" x14ac:dyDescent="0.2">
      <c r="A223" t="s">
        <v>3475</v>
      </c>
      <c r="B223" t="s">
        <v>3476</v>
      </c>
      <c r="C223" t="s">
        <v>3477</v>
      </c>
      <c r="D223" t="s">
        <v>3478</v>
      </c>
      <c r="E223" t="s">
        <v>3479</v>
      </c>
      <c r="F223" t="s">
        <v>3480</v>
      </c>
      <c r="G223" t="s">
        <v>3481</v>
      </c>
      <c r="H223" t="s">
        <v>3482</v>
      </c>
      <c r="I223" t="s">
        <v>3483</v>
      </c>
      <c r="J223" t="s">
        <v>3484</v>
      </c>
      <c r="L223" t="s">
        <v>1939</v>
      </c>
      <c r="M223" t="s">
        <v>3485</v>
      </c>
      <c r="N223" t="s">
        <v>3486</v>
      </c>
      <c r="O223" t="s">
        <v>3487</v>
      </c>
      <c r="P223">
        <v>36</v>
      </c>
      <c r="Q223" t="s">
        <v>3488</v>
      </c>
      <c r="R223">
        <v>2020</v>
      </c>
      <c r="S223">
        <v>20</v>
      </c>
      <c r="T223">
        <v>1</v>
      </c>
      <c r="U223" t="s">
        <v>31</v>
      </c>
      <c r="V223" t="s">
        <v>31</v>
      </c>
      <c r="W223">
        <v>7</v>
      </c>
      <c r="X223" t="s">
        <v>3489</v>
      </c>
      <c r="Y223" t="str">
        <f>HYPERLINK("http://dx.doi.org/10.1186/s12861-020-00212-6","http://dx.doi.org/10.1186/s12861-020-00212-6")</f>
        <v>http://dx.doi.org/10.1186/s12861-020-00212-6</v>
      </c>
      <c r="Z223" t="s">
        <v>31</v>
      </c>
      <c r="AA223" t="s">
        <v>3490</v>
      </c>
      <c r="AB223" t="s">
        <v>3490</v>
      </c>
      <c r="AC223" t="s">
        <v>47</v>
      </c>
      <c r="AD223" t="s">
        <v>3491</v>
      </c>
      <c r="AE223" t="str">
        <f>HYPERLINK("https%3A%2F%2Fwww.webofscience.com%2Fwos%2Fwoscc%2Ffull-record%2FWOS:000528752200001","View Full Record in Web of Science")</f>
        <v>View Full Record in Web of Science</v>
      </c>
    </row>
    <row r="224" spans="1:31" ht="20.100000000000001" customHeight="1" x14ac:dyDescent="0.2">
      <c r="A224" t="s">
        <v>3492</v>
      </c>
      <c r="B224" t="s">
        <v>3493</v>
      </c>
      <c r="C224" t="s">
        <v>3494</v>
      </c>
      <c r="D224" t="s">
        <v>3495</v>
      </c>
      <c r="E224" t="s">
        <v>3496</v>
      </c>
      <c r="F224" t="s">
        <v>3497</v>
      </c>
      <c r="G224" t="s">
        <v>3498</v>
      </c>
      <c r="H224" t="s">
        <v>3499</v>
      </c>
      <c r="I224" t="s">
        <v>3500</v>
      </c>
      <c r="J224" t="s">
        <v>3501</v>
      </c>
      <c r="L224" t="s">
        <v>3502</v>
      </c>
      <c r="M224" t="s">
        <v>3503</v>
      </c>
      <c r="N224" t="s">
        <v>3504</v>
      </c>
      <c r="O224" t="s">
        <v>3505</v>
      </c>
      <c r="P224">
        <v>68</v>
      </c>
      <c r="Q224" t="s">
        <v>3506</v>
      </c>
      <c r="R224">
        <v>2020</v>
      </c>
      <c r="S224">
        <v>579</v>
      </c>
      <c r="T224" t="s">
        <v>31</v>
      </c>
      <c r="U224" t="s">
        <v>31</v>
      </c>
      <c r="V224" t="s">
        <v>31</v>
      </c>
      <c r="W224">
        <v>119052</v>
      </c>
      <c r="X224" t="s">
        <v>3507</v>
      </c>
      <c r="Y224" t="str">
        <f>HYPERLINK("http://dx.doi.org/10.1016/j.ijpharm.2020.119052","http://dx.doi.org/10.1016/j.ijpharm.2020.119052")</f>
        <v>http://dx.doi.org/10.1016/j.ijpharm.2020.119052</v>
      </c>
      <c r="Z224" t="s">
        <v>31</v>
      </c>
      <c r="AA224" t="s">
        <v>755</v>
      </c>
      <c r="AB224" t="s">
        <v>755</v>
      </c>
      <c r="AC224" t="s">
        <v>47</v>
      </c>
      <c r="AD224" t="s">
        <v>3508</v>
      </c>
      <c r="AE224" t="str">
        <f>HYPERLINK("https%3A%2F%2Fwww.webofscience.com%2Fwos%2Fwoscc%2Ffull-record%2FWOS:000529310300004","View Full Record in Web of Science")</f>
        <v>View Full Record in Web of Science</v>
      </c>
    </row>
    <row r="225" spans="1:31" ht="20.100000000000001" customHeight="1" x14ac:dyDescent="0.2">
      <c r="A225" t="s">
        <v>3509</v>
      </c>
      <c r="B225" t="s">
        <v>3510</v>
      </c>
      <c r="C225" t="s">
        <v>3511</v>
      </c>
      <c r="D225" t="s">
        <v>3512</v>
      </c>
      <c r="E225" t="s">
        <v>3513</v>
      </c>
      <c r="F225" t="s">
        <v>3514</v>
      </c>
      <c r="G225" t="s">
        <v>3515</v>
      </c>
      <c r="H225" t="s">
        <v>3516</v>
      </c>
      <c r="I225" t="s">
        <v>3517</v>
      </c>
      <c r="J225" t="s">
        <v>3518</v>
      </c>
      <c r="L225" t="s">
        <v>3519</v>
      </c>
      <c r="M225" t="s">
        <v>31</v>
      </c>
      <c r="N225" t="s">
        <v>31</v>
      </c>
      <c r="O225" t="s">
        <v>31</v>
      </c>
      <c r="P225">
        <v>11</v>
      </c>
      <c r="Q225" t="s">
        <v>882</v>
      </c>
      <c r="R225">
        <v>2020</v>
      </c>
      <c r="S225">
        <v>49</v>
      </c>
      <c r="T225">
        <v>4</v>
      </c>
      <c r="U225">
        <v>502</v>
      </c>
      <c r="V225">
        <v>510</v>
      </c>
      <c r="W225" t="s">
        <v>31</v>
      </c>
      <c r="X225" t="s">
        <v>3520</v>
      </c>
      <c r="Y225" t="str">
        <f>HYPERLINK("http://dx.doi.org/10.1111/ahe.12554","http://dx.doi.org/10.1111/ahe.12554")</f>
        <v>http://dx.doi.org/10.1111/ahe.12554</v>
      </c>
      <c r="Z225" t="s">
        <v>3521</v>
      </c>
      <c r="AA225" t="s">
        <v>3522</v>
      </c>
      <c r="AB225" t="s">
        <v>3522</v>
      </c>
      <c r="AC225" t="s">
        <v>47</v>
      </c>
      <c r="AD225" t="s">
        <v>3523</v>
      </c>
      <c r="AE225" t="str">
        <f>HYPERLINK("https%3A%2F%2Fwww.webofscience.com%2Fwos%2Fwoscc%2Ffull-record%2FWOS:000522679900001","View Full Record in Web of Science")</f>
        <v>View Full Record in Web of Science</v>
      </c>
    </row>
    <row r="226" spans="1:31" ht="20.100000000000001" customHeight="1" x14ac:dyDescent="0.2">
      <c r="A226" t="s">
        <v>3524</v>
      </c>
      <c r="B226" t="s">
        <v>3525</v>
      </c>
      <c r="C226" t="s">
        <v>3526</v>
      </c>
      <c r="D226" t="s">
        <v>88</v>
      </c>
      <c r="E226" t="s">
        <v>31</v>
      </c>
      <c r="F226" t="s">
        <v>3527</v>
      </c>
      <c r="G226" t="s">
        <v>3528</v>
      </c>
      <c r="H226" t="s">
        <v>3529</v>
      </c>
      <c r="I226" t="s">
        <v>3530</v>
      </c>
      <c r="J226" t="s">
        <v>3531</v>
      </c>
      <c r="L226" t="s">
        <v>3532</v>
      </c>
      <c r="M226" t="s">
        <v>3533</v>
      </c>
      <c r="N226" t="s">
        <v>3533</v>
      </c>
      <c r="O226" t="s">
        <v>3534</v>
      </c>
      <c r="P226">
        <v>12</v>
      </c>
      <c r="Q226" t="s">
        <v>1305</v>
      </c>
      <c r="R226">
        <v>2020</v>
      </c>
      <c r="S226">
        <v>15</v>
      </c>
      <c r="T226">
        <v>3</v>
      </c>
      <c r="U226" t="s">
        <v>31</v>
      </c>
      <c r="V226" t="s">
        <v>31</v>
      </c>
      <c r="W226" t="s">
        <v>3535</v>
      </c>
      <c r="X226" t="s">
        <v>3536</v>
      </c>
      <c r="Y226" t="str">
        <f>HYPERLINK("http://dx.doi.org/10.1371/journal.pone.0230294","http://dx.doi.org/10.1371/journal.pone.0230294")</f>
        <v>http://dx.doi.org/10.1371/journal.pone.0230294</v>
      </c>
      <c r="Z226" t="s">
        <v>31</v>
      </c>
      <c r="AA226" t="s">
        <v>101</v>
      </c>
      <c r="AB226" t="s">
        <v>102</v>
      </c>
      <c r="AC226" t="s">
        <v>47</v>
      </c>
      <c r="AD226" t="s">
        <v>3537</v>
      </c>
      <c r="AE226" t="str">
        <f>HYPERLINK("https%3A%2F%2Fwww.webofscience.com%2Fwos%2Fwoscc%2Ffull-record%2FWOS:000535302300035","View Full Record in Web of Science")</f>
        <v>View Full Record in Web of Science</v>
      </c>
    </row>
    <row r="227" spans="1:31" ht="20.100000000000001" customHeight="1" x14ac:dyDescent="0.2">
      <c r="A227" t="s">
        <v>3538</v>
      </c>
      <c r="B227" t="s">
        <v>3539</v>
      </c>
      <c r="C227" t="s">
        <v>3540</v>
      </c>
      <c r="D227" t="s">
        <v>560</v>
      </c>
      <c r="E227" t="s">
        <v>3541</v>
      </c>
      <c r="F227" t="s">
        <v>3542</v>
      </c>
      <c r="G227" t="s">
        <v>3543</v>
      </c>
      <c r="H227" t="s">
        <v>3544</v>
      </c>
      <c r="I227" t="s">
        <v>565</v>
      </c>
      <c r="J227" t="s">
        <v>3545</v>
      </c>
      <c r="L227" t="s">
        <v>567</v>
      </c>
      <c r="M227" t="s">
        <v>3546</v>
      </c>
      <c r="N227" t="s">
        <v>3547</v>
      </c>
      <c r="O227" t="s">
        <v>3548</v>
      </c>
      <c r="P227">
        <v>4</v>
      </c>
      <c r="Q227" t="s">
        <v>169</v>
      </c>
      <c r="R227">
        <v>2020</v>
      </c>
      <c r="S227">
        <v>28</v>
      </c>
      <c r="T227">
        <v>3</v>
      </c>
      <c r="U227">
        <v>1269</v>
      </c>
      <c r="V227">
        <v>1277</v>
      </c>
      <c r="W227" t="s">
        <v>31</v>
      </c>
      <c r="X227" t="s">
        <v>3549</v>
      </c>
      <c r="Y227" t="str">
        <f>HYPERLINK("http://dx.doi.org/10.1007/s10499-020-00524-1","http://dx.doi.org/10.1007/s10499-020-00524-1")</f>
        <v>http://dx.doi.org/10.1007/s10499-020-00524-1</v>
      </c>
      <c r="Z227" t="s">
        <v>3521</v>
      </c>
      <c r="AA227" t="s">
        <v>218</v>
      </c>
      <c r="AB227" t="s">
        <v>218</v>
      </c>
      <c r="AC227" t="s">
        <v>47</v>
      </c>
      <c r="AD227" t="s">
        <v>3550</v>
      </c>
      <c r="AE227" t="str">
        <f>HYPERLINK("https%3A%2F%2Fwww.webofscience.com%2Fwos%2Fwoscc%2Ffull-record%2FWOS:000518412400001","View Full Record in Web of Science")</f>
        <v>View Full Record in Web of Science</v>
      </c>
    </row>
    <row r="228" spans="1:31" ht="20.100000000000001" customHeight="1" x14ac:dyDescent="0.2">
      <c r="A228" t="s">
        <v>3551</v>
      </c>
      <c r="B228" t="s">
        <v>3552</v>
      </c>
      <c r="C228" t="s">
        <v>3553</v>
      </c>
      <c r="D228" t="s">
        <v>367</v>
      </c>
      <c r="E228" t="s">
        <v>3554</v>
      </c>
      <c r="F228" t="s">
        <v>3555</v>
      </c>
      <c r="G228" t="s">
        <v>3556</v>
      </c>
      <c r="H228" t="s">
        <v>3557</v>
      </c>
      <c r="I228" t="s">
        <v>3558</v>
      </c>
      <c r="J228" t="s">
        <v>3559</v>
      </c>
      <c r="L228" t="s">
        <v>3560</v>
      </c>
      <c r="M228" t="s">
        <v>31</v>
      </c>
      <c r="N228" t="s">
        <v>31</v>
      </c>
      <c r="O228" t="s">
        <v>31</v>
      </c>
      <c r="P228">
        <v>36</v>
      </c>
      <c r="Q228" t="s">
        <v>269</v>
      </c>
      <c r="R228">
        <v>2020</v>
      </c>
      <c r="S228">
        <v>10</v>
      </c>
      <c r="T228">
        <v>3</v>
      </c>
      <c r="U228" t="s">
        <v>31</v>
      </c>
      <c r="V228" t="s">
        <v>31</v>
      </c>
      <c r="W228">
        <v>457</v>
      </c>
      <c r="X228" t="s">
        <v>3561</v>
      </c>
      <c r="Y228" t="str">
        <f>HYPERLINK("http://dx.doi.org/10.3390/ani10030457","http://dx.doi.org/10.3390/ani10030457")</f>
        <v>http://dx.doi.org/10.3390/ani10030457</v>
      </c>
      <c r="Z228" t="s">
        <v>31</v>
      </c>
      <c r="AA228" t="s">
        <v>380</v>
      </c>
      <c r="AB228" t="s">
        <v>381</v>
      </c>
      <c r="AC228" t="s">
        <v>47</v>
      </c>
      <c r="AD228" t="s">
        <v>3562</v>
      </c>
      <c r="AE228" t="str">
        <f>HYPERLINK("https%3A%2F%2Fwww.webofscience.com%2Fwos%2Fwoscc%2Ffull-record%2FWOS:000529378800090","View Full Record in Web of Science")</f>
        <v>View Full Record in Web of Science</v>
      </c>
    </row>
    <row r="229" spans="1:31" ht="20.100000000000001" customHeight="1" x14ac:dyDescent="0.2">
      <c r="A229" t="s">
        <v>3563</v>
      </c>
      <c r="B229" t="s">
        <v>3564</v>
      </c>
      <c r="C229" t="s">
        <v>3565</v>
      </c>
      <c r="D229" t="s">
        <v>624</v>
      </c>
      <c r="E229" t="s">
        <v>3566</v>
      </c>
      <c r="F229" t="s">
        <v>3567</v>
      </c>
      <c r="G229" t="s">
        <v>3568</v>
      </c>
      <c r="H229" t="s">
        <v>3569</v>
      </c>
      <c r="I229" t="s">
        <v>3570</v>
      </c>
      <c r="J229" t="s">
        <v>3571</v>
      </c>
      <c r="L229" t="s">
        <v>3572</v>
      </c>
      <c r="M229" t="s">
        <v>3573</v>
      </c>
      <c r="N229" t="s">
        <v>3574</v>
      </c>
      <c r="O229" t="s">
        <v>3575</v>
      </c>
      <c r="P229">
        <v>24</v>
      </c>
      <c r="Q229" t="s">
        <v>269</v>
      </c>
      <c r="R229">
        <v>2020</v>
      </c>
      <c r="S229">
        <v>16</v>
      </c>
      <c r="T229" t="s">
        <v>31</v>
      </c>
      <c r="U229" t="s">
        <v>31</v>
      </c>
      <c r="V229" t="s">
        <v>31</v>
      </c>
      <c r="W229">
        <v>100262</v>
      </c>
      <c r="X229" t="s">
        <v>3576</v>
      </c>
      <c r="Y229" t="str">
        <f>HYPERLINK("http://dx.doi.org/10.1016/j.aqrep.2019.100262","http://dx.doi.org/10.1016/j.aqrep.2019.100262")</f>
        <v>http://dx.doi.org/10.1016/j.aqrep.2019.100262</v>
      </c>
      <c r="Z229" t="s">
        <v>31</v>
      </c>
      <c r="AA229" t="s">
        <v>218</v>
      </c>
      <c r="AB229" t="s">
        <v>218</v>
      </c>
      <c r="AC229" t="s">
        <v>47</v>
      </c>
      <c r="AD229" t="s">
        <v>3577</v>
      </c>
      <c r="AE229" t="str">
        <f>HYPERLINK("https%3A%2F%2Fwww.webofscience.com%2Fwos%2Fwoscc%2Ffull-record%2FWOS:000517752000028","View Full Record in Web of Science")</f>
        <v>View Full Record in Web of Science</v>
      </c>
    </row>
    <row r="230" spans="1:31" ht="20.100000000000001" customHeight="1" x14ac:dyDescent="0.2">
      <c r="A230" t="s">
        <v>3578</v>
      </c>
      <c r="B230" t="s">
        <v>3579</v>
      </c>
      <c r="C230" t="s">
        <v>3580</v>
      </c>
      <c r="D230" t="s">
        <v>3581</v>
      </c>
      <c r="E230" t="s">
        <v>3582</v>
      </c>
      <c r="F230" t="s">
        <v>3583</v>
      </c>
      <c r="G230" t="s">
        <v>3584</v>
      </c>
      <c r="H230" t="s">
        <v>3585</v>
      </c>
      <c r="I230" t="s">
        <v>3586</v>
      </c>
      <c r="J230" t="s">
        <v>3587</v>
      </c>
      <c r="L230" t="s">
        <v>3588</v>
      </c>
      <c r="M230" t="s">
        <v>3589</v>
      </c>
      <c r="N230" t="s">
        <v>3589</v>
      </c>
      <c r="O230" t="s">
        <v>3590</v>
      </c>
      <c r="P230">
        <v>19</v>
      </c>
      <c r="Q230" t="s">
        <v>3591</v>
      </c>
      <c r="R230">
        <v>2020</v>
      </c>
      <c r="S230">
        <v>20</v>
      </c>
      <c r="T230">
        <v>1</v>
      </c>
      <c r="U230" t="s">
        <v>31</v>
      </c>
      <c r="V230" t="s">
        <v>31</v>
      </c>
      <c r="W230">
        <v>4</v>
      </c>
      <c r="X230" t="s">
        <v>3592</v>
      </c>
      <c r="Y230" t="str">
        <f>HYPERLINK("http://dx.doi.org/10.1007/s10158-020-0237-7","http://dx.doi.org/10.1007/s10158-020-0237-7")</f>
        <v>http://dx.doi.org/10.1007/s10158-020-0237-7</v>
      </c>
      <c r="Z230" t="s">
        <v>31</v>
      </c>
      <c r="AA230" t="s">
        <v>1672</v>
      </c>
      <c r="AB230" t="s">
        <v>1673</v>
      </c>
      <c r="AC230" t="s">
        <v>47</v>
      </c>
      <c r="AD230" t="s">
        <v>3593</v>
      </c>
      <c r="AE230" t="str">
        <f>HYPERLINK("https%3A%2F%2Fwww.webofscience.com%2Fwos%2Fwoscc%2Ffull-record%2FWOS:000513343700001","View Full Record in Web of Science")</f>
        <v>View Full Record in Web of Science</v>
      </c>
    </row>
    <row r="231" spans="1:31" ht="20.100000000000001" customHeight="1" x14ac:dyDescent="0.2">
      <c r="A231" t="s">
        <v>3594</v>
      </c>
      <c r="B231" t="s">
        <v>3595</v>
      </c>
      <c r="C231" t="s">
        <v>3596</v>
      </c>
      <c r="D231" t="s">
        <v>3597</v>
      </c>
      <c r="E231" t="s">
        <v>3598</v>
      </c>
      <c r="F231" t="s">
        <v>3599</v>
      </c>
      <c r="G231" t="s">
        <v>3600</v>
      </c>
      <c r="H231" t="s">
        <v>3601</v>
      </c>
      <c r="I231" t="s">
        <v>3602</v>
      </c>
      <c r="J231" t="s">
        <v>3603</v>
      </c>
      <c r="L231" t="s">
        <v>3604</v>
      </c>
      <c r="M231" t="s">
        <v>3605</v>
      </c>
      <c r="N231" t="s">
        <v>3606</v>
      </c>
      <c r="O231" t="s">
        <v>3607</v>
      </c>
      <c r="P231">
        <v>58</v>
      </c>
      <c r="Q231" t="s">
        <v>44</v>
      </c>
      <c r="R231">
        <v>2020</v>
      </c>
      <c r="S231">
        <v>223</v>
      </c>
      <c r="T231">
        <v>1</v>
      </c>
      <c r="U231">
        <v>10</v>
      </c>
      <c r="V231">
        <v>21</v>
      </c>
      <c r="W231" t="s">
        <v>31</v>
      </c>
      <c r="X231" t="s">
        <v>3608</v>
      </c>
      <c r="Y231" t="str">
        <f>HYPERLINK("http://dx.doi.org/10.1016/j.ijheh.2019.10.011","http://dx.doi.org/10.1016/j.ijheh.2019.10.011")</f>
        <v>http://dx.doi.org/10.1016/j.ijheh.2019.10.011</v>
      </c>
      <c r="Z231" t="s">
        <v>31</v>
      </c>
      <c r="AA231" t="s">
        <v>3609</v>
      </c>
      <c r="AB231" t="s">
        <v>3609</v>
      </c>
      <c r="AC231" t="s">
        <v>47</v>
      </c>
      <c r="AD231" t="s">
        <v>3610</v>
      </c>
      <c r="AE231" t="str">
        <f>HYPERLINK("https%3A%2F%2Fwww.webofscience.com%2Fwos%2Fwoscc%2Ffull-record%2FWOS:000509004300002","View Full Record in Web of Science")</f>
        <v>View Full Record in Web of Science</v>
      </c>
    </row>
    <row r="232" spans="1:31" ht="20.100000000000001" customHeight="1" x14ac:dyDescent="0.2">
      <c r="A232" t="s">
        <v>3611</v>
      </c>
      <c r="B232" t="s">
        <v>3612</v>
      </c>
      <c r="C232" t="s">
        <v>3613</v>
      </c>
      <c r="D232" t="s">
        <v>874</v>
      </c>
      <c r="E232" t="s">
        <v>3614</v>
      </c>
      <c r="F232" t="s">
        <v>3615</v>
      </c>
      <c r="G232" t="s">
        <v>3616</v>
      </c>
      <c r="H232" t="s">
        <v>3617</v>
      </c>
      <c r="I232" t="s">
        <v>3618</v>
      </c>
      <c r="J232" t="s">
        <v>3619</v>
      </c>
      <c r="L232" t="s">
        <v>31</v>
      </c>
      <c r="M232" t="s">
        <v>3620</v>
      </c>
      <c r="N232" t="s">
        <v>31</v>
      </c>
      <c r="O232" t="s">
        <v>3621</v>
      </c>
      <c r="P232">
        <v>2</v>
      </c>
      <c r="Q232" t="s">
        <v>44</v>
      </c>
      <c r="R232">
        <v>2020</v>
      </c>
      <c r="S232">
        <v>150</v>
      </c>
      <c r="T232" t="s">
        <v>31</v>
      </c>
      <c r="U232" t="s">
        <v>31</v>
      </c>
      <c r="V232" t="s">
        <v>31</v>
      </c>
      <c r="W232">
        <v>110597</v>
      </c>
      <c r="X232" t="s">
        <v>3622</v>
      </c>
      <c r="Y232" t="str">
        <f>HYPERLINK("http://dx.doi.org/10.1016/j.marpolbul.2019.110597","http://dx.doi.org/10.1016/j.marpolbul.2019.110597")</f>
        <v>http://dx.doi.org/10.1016/j.marpolbul.2019.110597</v>
      </c>
      <c r="Z232" t="s">
        <v>31</v>
      </c>
      <c r="AA232" t="s">
        <v>885</v>
      </c>
      <c r="AB232" t="s">
        <v>288</v>
      </c>
      <c r="AC232" t="s">
        <v>47</v>
      </c>
      <c r="AD232" t="s">
        <v>3623</v>
      </c>
      <c r="AE232" t="str">
        <f>HYPERLINK("https%3A%2F%2Fwww.webofscience.com%2Fwos%2Fwoscc%2Ffull-record%2FWOS:000509611200044","View Full Record in Web of Science")</f>
        <v>View Full Record in Web of Science</v>
      </c>
    </row>
  </sheetData>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47B38-4FB6-4E7C-9624-908A8B0D2FC0}">
  <dimension ref="A1:L102"/>
  <sheetViews>
    <sheetView tabSelected="1" topLeftCell="A56" workbookViewId="0">
      <selection activeCell="G84" sqref="G84"/>
    </sheetView>
  </sheetViews>
  <sheetFormatPr defaultRowHeight="12.75" x14ac:dyDescent="0.2"/>
  <cols>
    <col min="1" max="1" width="24.28515625" bestFit="1" customWidth="1"/>
    <col min="2" max="2" width="19.42578125" customWidth="1"/>
    <col min="3" max="3" width="13.140625" bestFit="1" customWidth="1"/>
    <col min="4" max="4" width="19.42578125" customWidth="1"/>
    <col min="5" max="5" width="12.5703125" bestFit="1" customWidth="1"/>
    <col min="6" max="6" width="23.42578125" bestFit="1" customWidth="1"/>
  </cols>
  <sheetData>
    <row r="1" spans="1:12" ht="15" x14ac:dyDescent="0.2">
      <c r="A1" s="12" t="s">
        <v>3626</v>
      </c>
      <c r="B1" s="1" t="s">
        <v>3629</v>
      </c>
      <c r="C1" s="1" t="s">
        <v>3627</v>
      </c>
      <c r="D1" s="1" t="s">
        <v>3948</v>
      </c>
      <c r="E1" s="1" t="s">
        <v>3630</v>
      </c>
      <c r="F1" s="1" t="s">
        <v>3636</v>
      </c>
    </row>
    <row r="2" spans="1:12" x14ac:dyDescent="0.2">
      <c r="A2" t="s">
        <v>3637</v>
      </c>
      <c r="B2" t="s">
        <v>3639</v>
      </c>
      <c r="C2">
        <v>0</v>
      </c>
      <c r="D2" s="4" t="s">
        <v>3639</v>
      </c>
      <c r="E2" t="s">
        <v>3635</v>
      </c>
      <c r="F2" t="s">
        <v>3633</v>
      </c>
    </row>
    <row r="3" spans="1:12" x14ac:dyDescent="0.2">
      <c r="A3" s="4" t="s">
        <v>3656</v>
      </c>
      <c r="B3" t="s">
        <v>3639</v>
      </c>
      <c r="C3">
        <v>0</v>
      </c>
      <c r="D3" s="4" t="s">
        <v>3639</v>
      </c>
      <c r="E3" t="s">
        <v>3635</v>
      </c>
      <c r="F3" t="s">
        <v>3633</v>
      </c>
    </row>
    <row r="4" spans="1:12" x14ac:dyDescent="0.2">
      <c r="A4" t="s">
        <v>3647</v>
      </c>
      <c r="B4" t="s">
        <v>3650</v>
      </c>
      <c r="C4">
        <v>1</v>
      </c>
      <c r="D4" s="9" t="s">
        <v>3650</v>
      </c>
      <c r="E4" t="s">
        <v>3651</v>
      </c>
      <c r="F4" t="s">
        <v>3653</v>
      </c>
    </row>
    <row r="5" spans="1:12" x14ac:dyDescent="0.2">
      <c r="A5" t="s">
        <v>3658</v>
      </c>
      <c r="B5" s="4" t="s">
        <v>3639</v>
      </c>
      <c r="C5">
        <v>0</v>
      </c>
      <c r="D5" s="4" t="s">
        <v>3650</v>
      </c>
      <c r="E5" t="s">
        <v>3651</v>
      </c>
      <c r="F5" t="s">
        <v>3653</v>
      </c>
    </row>
    <row r="6" spans="1:12" x14ac:dyDescent="0.2">
      <c r="A6" s="4" t="s">
        <v>3667</v>
      </c>
      <c r="B6" s="4" t="s">
        <v>3639</v>
      </c>
      <c r="C6">
        <v>0</v>
      </c>
      <c r="D6" s="4" t="s">
        <v>3639</v>
      </c>
      <c r="E6" s="4" t="s">
        <v>3670</v>
      </c>
      <c r="F6">
        <v>0</v>
      </c>
    </row>
    <row r="7" spans="1:12" x14ac:dyDescent="0.2">
      <c r="A7" s="4" t="s">
        <v>3637</v>
      </c>
      <c r="B7" s="4" t="s">
        <v>3639</v>
      </c>
      <c r="C7">
        <v>0</v>
      </c>
      <c r="D7" s="4" t="s">
        <v>3639</v>
      </c>
      <c r="E7" s="4" t="s">
        <v>3635</v>
      </c>
      <c r="F7" s="4" t="s">
        <v>3633</v>
      </c>
    </row>
    <row r="8" spans="1:12" x14ac:dyDescent="0.2">
      <c r="A8" s="4" t="s">
        <v>3637</v>
      </c>
      <c r="B8" s="4" t="s">
        <v>3639</v>
      </c>
      <c r="C8">
        <v>0</v>
      </c>
      <c r="D8" s="4" t="s">
        <v>3639</v>
      </c>
      <c r="E8" s="4" t="s">
        <v>3670</v>
      </c>
      <c r="F8">
        <v>0</v>
      </c>
    </row>
    <row r="9" spans="1:12" x14ac:dyDescent="0.2">
      <c r="A9" s="4" t="s">
        <v>3657</v>
      </c>
      <c r="B9" s="4" t="s">
        <v>3639</v>
      </c>
      <c r="C9">
        <v>0</v>
      </c>
      <c r="D9" s="4" t="s">
        <v>3639</v>
      </c>
      <c r="E9" s="4" t="s">
        <v>3670</v>
      </c>
      <c r="F9">
        <v>0</v>
      </c>
    </row>
    <row r="10" spans="1:12" x14ac:dyDescent="0.2">
      <c r="A10" s="4" t="s">
        <v>3684</v>
      </c>
      <c r="B10" s="4" t="s">
        <v>3650</v>
      </c>
      <c r="C10">
        <v>3</v>
      </c>
      <c r="D10" s="4" t="s">
        <v>3650</v>
      </c>
      <c r="E10" s="4" t="s">
        <v>3670</v>
      </c>
      <c r="F10">
        <v>0</v>
      </c>
    </row>
    <row r="11" spans="1:12" x14ac:dyDescent="0.2">
      <c r="A11" s="4" t="s">
        <v>3694</v>
      </c>
      <c r="B11" s="4" t="s">
        <v>3650</v>
      </c>
      <c r="C11">
        <v>1</v>
      </c>
      <c r="D11" s="4" t="s">
        <v>3650</v>
      </c>
      <c r="E11" s="4" t="s">
        <v>3696</v>
      </c>
      <c r="F11" t="s">
        <v>3653</v>
      </c>
    </row>
    <row r="12" spans="1:12" x14ac:dyDescent="0.2">
      <c r="A12" s="4" t="s">
        <v>3658</v>
      </c>
      <c r="B12" s="4" t="s">
        <v>3639</v>
      </c>
      <c r="C12">
        <v>0</v>
      </c>
      <c r="D12" s="4" t="s">
        <v>3639</v>
      </c>
      <c r="E12" s="4" t="s">
        <v>3635</v>
      </c>
      <c r="F12" t="s">
        <v>3633</v>
      </c>
    </row>
    <row r="13" spans="1:12" x14ac:dyDescent="0.2">
      <c r="A13" s="4" t="s">
        <v>3657</v>
      </c>
      <c r="B13" s="4" t="s">
        <v>3735</v>
      </c>
      <c r="C13">
        <v>1</v>
      </c>
      <c r="D13" s="4" t="s">
        <v>3650</v>
      </c>
      <c r="E13" s="4" t="s">
        <v>3706</v>
      </c>
      <c r="F13" t="s">
        <v>3653</v>
      </c>
    </row>
    <row r="14" spans="1:12" x14ac:dyDescent="0.2">
      <c r="A14" s="4" t="s">
        <v>3679</v>
      </c>
      <c r="B14" s="4" t="s">
        <v>3639</v>
      </c>
      <c r="C14">
        <v>0</v>
      </c>
      <c r="D14" s="4" t="s">
        <v>3639</v>
      </c>
      <c r="E14" s="4" t="s">
        <v>3635</v>
      </c>
      <c r="F14" s="4" t="s">
        <v>3653</v>
      </c>
    </row>
    <row r="15" spans="1:12" x14ac:dyDescent="0.2">
      <c r="A15" s="4" t="s">
        <v>3637</v>
      </c>
      <c r="B15" s="4" t="s">
        <v>3650</v>
      </c>
      <c r="C15">
        <v>0</v>
      </c>
      <c r="D15" s="4" t="s">
        <v>3650</v>
      </c>
      <c r="E15" s="4" t="s">
        <v>3651</v>
      </c>
      <c r="F15" t="s">
        <v>3653</v>
      </c>
      <c r="L15" s="4"/>
    </row>
    <row r="16" spans="1:12" x14ac:dyDescent="0.2">
      <c r="A16" s="4" t="s">
        <v>3656</v>
      </c>
      <c r="B16" s="4" t="s">
        <v>3650</v>
      </c>
      <c r="C16">
        <v>3</v>
      </c>
      <c r="D16" s="8" t="s">
        <v>3650</v>
      </c>
      <c r="E16" s="4" t="s">
        <v>3721</v>
      </c>
      <c r="F16" s="4" t="s">
        <v>3723</v>
      </c>
    </row>
    <row r="17" spans="1:6" x14ac:dyDescent="0.2">
      <c r="A17" s="4" t="s">
        <v>3637</v>
      </c>
      <c r="B17" s="4" t="s">
        <v>3639</v>
      </c>
      <c r="C17">
        <v>0</v>
      </c>
      <c r="D17" s="8" t="s">
        <v>3639</v>
      </c>
      <c r="E17" s="4" t="s">
        <v>3635</v>
      </c>
      <c r="F17" s="4" t="s">
        <v>3633</v>
      </c>
    </row>
    <row r="18" spans="1:6" x14ac:dyDescent="0.2">
      <c r="A18" s="4" t="s">
        <v>3667</v>
      </c>
      <c r="B18" s="4" t="s">
        <v>3650</v>
      </c>
      <c r="C18">
        <v>2</v>
      </c>
      <c r="D18" s="4" t="s">
        <v>3639</v>
      </c>
      <c r="E18" s="4" t="s">
        <v>3635</v>
      </c>
      <c r="F18" s="4" t="s">
        <v>3633</v>
      </c>
    </row>
    <row r="19" spans="1:6" x14ac:dyDescent="0.2">
      <c r="A19" s="4" t="s">
        <v>3647</v>
      </c>
      <c r="B19" s="4" t="s">
        <v>3650</v>
      </c>
      <c r="C19">
        <v>0</v>
      </c>
      <c r="D19" s="4" t="s">
        <v>3650</v>
      </c>
      <c r="E19" s="4" t="s">
        <v>3670</v>
      </c>
      <c r="F19">
        <v>0</v>
      </c>
    </row>
    <row r="20" spans="1:6" x14ac:dyDescent="0.2">
      <c r="A20" s="4" t="s">
        <v>3637</v>
      </c>
      <c r="B20" s="4" t="s">
        <v>3639</v>
      </c>
      <c r="C20">
        <v>0</v>
      </c>
      <c r="D20" s="4" t="s">
        <v>3639</v>
      </c>
      <c r="E20" s="4" t="s">
        <v>3635</v>
      </c>
      <c r="F20" s="4" t="s">
        <v>3633</v>
      </c>
    </row>
    <row r="21" spans="1:6" x14ac:dyDescent="0.2">
      <c r="A21" s="4" t="s">
        <v>3684</v>
      </c>
      <c r="B21" s="4" t="s">
        <v>3650</v>
      </c>
      <c r="C21">
        <v>0</v>
      </c>
      <c r="D21" s="4" t="s">
        <v>3639</v>
      </c>
      <c r="E21" s="4" t="s">
        <v>3670</v>
      </c>
      <c r="F21">
        <v>0</v>
      </c>
    </row>
    <row r="22" spans="1:6" x14ac:dyDescent="0.2">
      <c r="A22" s="4" t="s">
        <v>3667</v>
      </c>
      <c r="B22" s="4" t="s">
        <v>3650</v>
      </c>
      <c r="C22">
        <v>2</v>
      </c>
      <c r="D22" s="4" t="s">
        <v>3650</v>
      </c>
      <c r="E22" s="4" t="s">
        <v>3721</v>
      </c>
      <c r="F22" s="4" t="s">
        <v>3653</v>
      </c>
    </row>
    <row r="23" spans="1:6" x14ac:dyDescent="0.2">
      <c r="A23" s="4" t="s">
        <v>3667</v>
      </c>
      <c r="B23" s="4" t="s">
        <v>3639</v>
      </c>
      <c r="C23">
        <v>0</v>
      </c>
      <c r="D23" s="4" t="s">
        <v>3639</v>
      </c>
      <c r="E23" s="4" t="s">
        <v>3670</v>
      </c>
      <c r="F23">
        <v>0</v>
      </c>
    </row>
    <row r="24" spans="1:6" x14ac:dyDescent="0.2">
      <c r="A24" s="4" t="s">
        <v>3637</v>
      </c>
      <c r="B24" s="4" t="s">
        <v>3639</v>
      </c>
      <c r="C24">
        <v>0</v>
      </c>
      <c r="D24" s="4" t="s">
        <v>3639</v>
      </c>
      <c r="E24" s="4" t="s">
        <v>3670</v>
      </c>
      <c r="F24">
        <v>0</v>
      </c>
    </row>
    <row r="25" spans="1:6" x14ac:dyDescent="0.2">
      <c r="A25" s="4" t="s">
        <v>3637</v>
      </c>
      <c r="B25" s="4" t="s">
        <v>3639</v>
      </c>
      <c r="C25">
        <v>0</v>
      </c>
      <c r="D25" s="4" t="s">
        <v>3639</v>
      </c>
      <c r="E25" s="4" t="s">
        <v>3635</v>
      </c>
      <c r="F25" s="4" t="s">
        <v>3633</v>
      </c>
    </row>
    <row r="26" spans="1:6" x14ac:dyDescent="0.2">
      <c r="A26" s="4" t="s">
        <v>3647</v>
      </c>
      <c r="B26" s="4" t="s">
        <v>3735</v>
      </c>
      <c r="C26">
        <v>1</v>
      </c>
      <c r="D26" s="4" t="s">
        <v>3650</v>
      </c>
      <c r="E26" s="4" t="s">
        <v>3706</v>
      </c>
      <c r="F26" s="4" t="s">
        <v>3653</v>
      </c>
    </row>
    <row r="27" spans="1:6" x14ac:dyDescent="0.2">
      <c r="A27" s="4" t="s">
        <v>3637</v>
      </c>
      <c r="B27" s="4" t="s">
        <v>3639</v>
      </c>
      <c r="C27">
        <v>0</v>
      </c>
      <c r="D27" s="4" t="s">
        <v>3639</v>
      </c>
      <c r="E27" s="4" t="s">
        <v>3635</v>
      </c>
      <c r="F27" s="4" t="s">
        <v>3633</v>
      </c>
    </row>
    <row r="28" spans="1:6" x14ac:dyDescent="0.2">
      <c r="A28" s="4" t="s">
        <v>3658</v>
      </c>
      <c r="B28" s="4" t="s">
        <v>3639</v>
      </c>
      <c r="C28">
        <v>1</v>
      </c>
      <c r="D28" s="4" t="s">
        <v>3639</v>
      </c>
      <c r="E28" s="4" t="s">
        <v>3635</v>
      </c>
      <c r="F28" s="4" t="s">
        <v>3633</v>
      </c>
    </row>
    <row r="29" spans="1:6" x14ac:dyDescent="0.2">
      <c r="A29" s="4" t="s">
        <v>3637</v>
      </c>
      <c r="B29" s="4" t="s">
        <v>3639</v>
      </c>
      <c r="C29">
        <v>0</v>
      </c>
      <c r="D29" s="4" t="s">
        <v>3639</v>
      </c>
      <c r="E29" s="4" t="s">
        <v>3651</v>
      </c>
      <c r="F29" s="4" t="s">
        <v>3653</v>
      </c>
    </row>
    <row r="30" spans="1:6" x14ac:dyDescent="0.2">
      <c r="A30" s="4" t="s">
        <v>3876</v>
      </c>
      <c r="B30" s="4" t="s">
        <v>3650</v>
      </c>
      <c r="C30">
        <v>2</v>
      </c>
      <c r="D30" s="4" t="s">
        <v>3639</v>
      </c>
      <c r="E30" s="4" t="s">
        <v>3802</v>
      </c>
      <c r="F30" s="4" t="s">
        <v>3708</v>
      </c>
    </row>
    <row r="31" spans="1:6" x14ac:dyDescent="0.2">
      <c r="A31" s="4" t="s">
        <v>3694</v>
      </c>
      <c r="B31" s="4" t="s">
        <v>3650</v>
      </c>
      <c r="C31">
        <v>1</v>
      </c>
      <c r="D31" s="4" t="s">
        <v>3650</v>
      </c>
      <c r="E31" s="4" t="s">
        <v>3706</v>
      </c>
      <c r="F31" s="4" t="s">
        <v>3653</v>
      </c>
    </row>
    <row r="32" spans="1:6" x14ac:dyDescent="0.2">
      <c r="A32" s="4" t="s">
        <v>3694</v>
      </c>
      <c r="B32" s="4" t="s">
        <v>3650</v>
      </c>
      <c r="C32">
        <v>0</v>
      </c>
      <c r="D32" s="4" t="s">
        <v>3650</v>
      </c>
      <c r="E32" s="4" t="s">
        <v>3696</v>
      </c>
      <c r="F32" s="4" t="s">
        <v>3653</v>
      </c>
    </row>
    <row r="33" spans="1:6" x14ac:dyDescent="0.2">
      <c r="A33" s="4" t="s">
        <v>3694</v>
      </c>
      <c r="B33" s="4" t="s">
        <v>3735</v>
      </c>
      <c r="C33">
        <v>1</v>
      </c>
      <c r="D33" s="4" t="s">
        <v>3650</v>
      </c>
      <c r="E33" s="4" t="s">
        <v>3696</v>
      </c>
      <c r="F33" s="4" t="s">
        <v>3653</v>
      </c>
    </row>
    <row r="34" spans="1:6" x14ac:dyDescent="0.2">
      <c r="A34" s="4" t="s">
        <v>3656</v>
      </c>
      <c r="B34" s="4" t="s">
        <v>3639</v>
      </c>
      <c r="C34">
        <v>0</v>
      </c>
      <c r="D34" s="4" t="s">
        <v>3639</v>
      </c>
      <c r="E34" s="4" t="s">
        <v>3651</v>
      </c>
      <c r="F34" s="4" t="s">
        <v>3653</v>
      </c>
    </row>
    <row r="35" spans="1:6" x14ac:dyDescent="0.2">
      <c r="A35" s="4" t="s">
        <v>3637</v>
      </c>
      <c r="B35" s="4" t="s">
        <v>3735</v>
      </c>
      <c r="C35">
        <v>0</v>
      </c>
      <c r="D35" s="4" t="s">
        <v>3639</v>
      </c>
      <c r="E35" s="4" t="s">
        <v>3635</v>
      </c>
      <c r="F35" s="4" t="s">
        <v>3633</v>
      </c>
    </row>
    <row r="36" spans="1:6" x14ac:dyDescent="0.2">
      <c r="A36" s="4" t="s">
        <v>3637</v>
      </c>
      <c r="B36" s="4" t="s">
        <v>3639</v>
      </c>
      <c r="C36">
        <v>0</v>
      </c>
      <c r="D36" s="4" t="s">
        <v>3639</v>
      </c>
      <c r="E36" s="4" t="s">
        <v>3635</v>
      </c>
      <c r="F36" s="4" t="s">
        <v>3633</v>
      </c>
    </row>
    <row r="37" spans="1:6" x14ac:dyDescent="0.2">
      <c r="A37" s="4" t="s">
        <v>3694</v>
      </c>
      <c r="B37" s="4" t="s">
        <v>3639</v>
      </c>
      <c r="C37">
        <v>1</v>
      </c>
      <c r="D37" s="4" t="s">
        <v>3650</v>
      </c>
      <c r="E37" s="4" t="s">
        <v>3696</v>
      </c>
      <c r="F37" s="4" t="s">
        <v>3653</v>
      </c>
    </row>
    <row r="38" spans="1:6" x14ac:dyDescent="0.2">
      <c r="A38" s="4" t="s">
        <v>3637</v>
      </c>
      <c r="B38" s="4" t="s">
        <v>3639</v>
      </c>
      <c r="C38">
        <v>0</v>
      </c>
      <c r="D38" s="4" t="s">
        <v>3639</v>
      </c>
      <c r="E38" s="4" t="s">
        <v>3635</v>
      </c>
      <c r="F38" s="4" t="s">
        <v>3633</v>
      </c>
    </row>
    <row r="39" spans="1:6" x14ac:dyDescent="0.2">
      <c r="A39" s="4" t="s">
        <v>3637</v>
      </c>
      <c r="B39" s="4" t="s">
        <v>3639</v>
      </c>
      <c r="C39">
        <v>0</v>
      </c>
      <c r="D39" s="4" t="s">
        <v>3639</v>
      </c>
      <c r="E39" s="4" t="s">
        <v>3635</v>
      </c>
      <c r="F39" s="4" t="s">
        <v>3633</v>
      </c>
    </row>
    <row r="40" spans="1:6" x14ac:dyDescent="0.2">
      <c r="A40" s="4" t="s">
        <v>3637</v>
      </c>
      <c r="B40" s="4" t="s">
        <v>3639</v>
      </c>
      <c r="C40">
        <v>0</v>
      </c>
      <c r="D40" s="4" t="s">
        <v>3639</v>
      </c>
      <c r="E40" s="4" t="s">
        <v>3635</v>
      </c>
      <c r="F40" s="4" t="s">
        <v>3633</v>
      </c>
    </row>
    <row r="41" spans="1:6" x14ac:dyDescent="0.2">
      <c r="A41" s="4" t="s">
        <v>3647</v>
      </c>
      <c r="B41" s="4" t="s">
        <v>3650</v>
      </c>
      <c r="C41">
        <v>1</v>
      </c>
      <c r="D41" s="4" t="s">
        <v>3650</v>
      </c>
      <c r="E41" s="4" t="s">
        <v>3651</v>
      </c>
      <c r="F41" s="4" t="s">
        <v>3653</v>
      </c>
    </row>
    <row r="42" spans="1:6" x14ac:dyDescent="0.2">
      <c r="A42" s="4" t="s">
        <v>3667</v>
      </c>
      <c r="B42" s="4" t="s">
        <v>3639</v>
      </c>
      <c r="C42">
        <v>0</v>
      </c>
      <c r="D42" s="4" t="s">
        <v>3639</v>
      </c>
      <c r="E42" s="4" t="s">
        <v>3670</v>
      </c>
      <c r="F42">
        <v>0</v>
      </c>
    </row>
    <row r="43" spans="1:6" x14ac:dyDescent="0.2">
      <c r="A43" s="4" t="s">
        <v>3667</v>
      </c>
      <c r="B43" s="4" t="s">
        <v>3650</v>
      </c>
      <c r="C43">
        <v>3</v>
      </c>
      <c r="D43" s="4" t="s">
        <v>3650</v>
      </c>
      <c r="E43" s="4" t="s">
        <v>3802</v>
      </c>
      <c r="F43" s="4" t="s">
        <v>3708</v>
      </c>
    </row>
    <row r="44" spans="1:6" x14ac:dyDescent="0.2">
      <c r="A44" s="4" t="s">
        <v>3637</v>
      </c>
      <c r="B44" s="4" t="s">
        <v>3639</v>
      </c>
      <c r="C44">
        <v>0</v>
      </c>
      <c r="D44" s="4" t="s">
        <v>3639</v>
      </c>
      <c r="E44" s="4" t="s">
        <v>3635</v>
      </c>
      <c r="F44" s="4" t="s">
        <v>3633</v>
      </c>
    </row>
    <row r="45" spans="1:6" x14ac:dyDescent="0.2">
      <c r="A45" s="4" t="s">
        <v>3637</v>
      </c>
      <c r="B45" s="4" t="s">
        <v>3639</v>
      </c>
      <c r="C45">
        <v>0</v>
      </c>
      <c r="D45" s="4" t="s">
        <v>3639</v>
      </c>
      <c r="E45" s="4" t="s">
        <v>3706</v>
      </c>
      <c r="F45" s="4" t="s">
        <v>3653</v>
      </c>
    </row>
    <row r="46" spans="1:6" x14ac:dyDescent="0.2">
      <c r="A46" s="4" t="s">
        <v>3876</v>
      </c>
      <c r="B46" s="4" t="s">
        <v>3650</v>
      </c>
      <c r="C46">
        <v>3</v>
      </c>
      <c r="D46" s="4" t="s">
        <v>3639</v>
      </c>
      <c r="E46" s="4" t="s">
        <v>3802</v>
      </c>
      <c r="F46" s="4" t="s">
        <v>3708</v>
      </c>
    </row>
    <row r="47" spans="1:6" x14ac:dyDescent="0.2">
      <c r="A47" s="4" t="s">
        <v>3647</v>
      </c>
      <c r="B47" s="4" t="s">
        <v>3735</v>
      </c>
      <c r="C47">
        <v>1</v>
      </c>
      <c r="D47" s="4" t="s">
        <v>3650</v>
      </c>
      <c r="E47" s="4" t="s">
        <v>3706</v>
      </c>
      <c r="F47" s="4" t="s">
        <v>3653</v>
      </c>
    </row>
    <row r="48" spans="1:6" x14ac:dyDescent="0.2">
      <c r="A48" s="4" t="s">
        <v>3637</v>
      </c>
      <c r="B48" s="4" t="s">
        <v>3639</v>
      </c>
      <c r="C48">
        <v>0</v>
      </c>
      <c r="D48" s="4" t="s">
        <v>3639</v>
      </c>
      <c r="E48" s="4" t="s">
        <v>3635</v>
      </c>
      <c r="F48" s="4" t="s">
        <v>3633</v>
      </c>
    </row>
    <row r="49" spans="1:7" x14ac:dyDescent="0.2">
      <c r="A49" s="4" t="s">
        <v>3637</v>
      </c>
      <c r="B49" s="4" t="s">
        <v>3639</v>
      </c>
      <c r="C49">
        <v>0</v>
      </c>
      <c r="D49" s="4" t="s">
        <v>3639</v>
      </c>
      <c r="E49" s="4" t="s">
        <v>3635</v>
      </c>
      <c r="F49" s="4" t="s">
        <v>3633</v>
      </c>
    </row>
    <row r="50" spans="1:7" x14ac:dyDescent="0.2">
      <c r="A50" s="4" t="s">
        <v>3667</v>
      </c>
      <c r="B50" s="4" t="s">
        <v>3650</v>
      </c>
      <c r="C50">
        <v>2</v>
      </c>
      <c r="D50" s="4" t="s">
        <v>3639</v>
      </c>
      <c r="E50" s="4" t="s">
        <v>3802</v>
      </c>
      <c r="F50" s="4" t="s">
        <v>3708</v>
      </c>
    </row>
    <row r="51" spans="1:7" x14ac:dyDescent="0.2">
      <c r="A51" s="4" t="s">
        <v>3684</v>
      </c>
      <c r="B51" s="4" t="s">
        <v>3650</v>
      </c>
      <c r="C51">
        <v>3</v>
      </c>
      <c r="D51" s="4" t="s">
        <v>3650</v>
      </c>
      <c r="E51" s="4" t="s">
        <v>3706</v>
      </c>
      <c r="F51" s="4" t="s">
        <v>3653</v>
      </c>
    </row>
    <row r="52" spans="1:7" x14ac:dyDescent="0.2">
      <c r="A52" s="4" t="s">
        <v>3656</v>
      </c>
      <c r="B52" s="4" t="s">
        <v>3639</v>
      </c>
      <c r="C52">
        <v>1</v>
      </c>
      <c r="D52" s="4" t="s">
        <v>3639</v>
      </c>
      <c r="E52" s="4" t="s">
        <v>3651</v>
      </c>
      <c r="F52" s="4" t="s">
        <v>3653</v>
      </c>
    </row>
    <row r="53" spans="1:7" x14ac:dyDescent="0.2">
      <c r="A53" s="4" t="s">
        <v>3656</v>
      </c>
      <c r="B53" s="4" t="s">
        <v>3639</v>
      </c>
      <c r="C53">
        <v>0</v>
      </c>
      <c r="D53" s="4" t="s">
        <v>3639</v>
      </c>
      <c r="E53" s="4" t="s">
        <v>3635</v>
      </c>
      <c r="F53" s="4" t="s">
        <v>3633</v>
      </c>
    </row>
    <row r="54" spans="1:7" x14ac:dyDescent="0.2">
      <c r="A54" s="4" t="s">
        <v>3658</v>
      </c>
      <c r="B54" s="4" t="s">
        <v>3639</v>
      </c>
      <c r="C54">
        <v>1</v>
      </c>
      <c r="D54" s="4" t="s">
        <v>3639</v>
      </c>
      <c r="E54" s="4" t="s">
        <v>3651</v>
      </c>
      <c r="F54" s="4" t="s">
        <v>3653</v>
      </c>
      <c r="G54" s="4" t="s">
        <v>4175</v>
      </c>
    </row>
    <row r="55" spans="1:7" x14ac:dyDescent="0.2">
      <c r="A55" s="4" t="s">
        <v>3694</v>
      </c>
      <c r="B55" s="4" t="s">
        <v>3650</v>
      </c>
      <c r="C55">
        <v>1</v>
      </c>
      <c r="D55" s="4" t="s">
        <v>3650</v>
      </c>
      <c r="E55" s="4" t="s">
        <v>3651</v>
      </c>
      <c r="F55" s="4" t="s">
        <v>3653</v>
      </c>
    </row>
    <row r="56" spans="1:7" x14ac:dyDescent="0.2">
      <c r="A56" s="4" t="s">
        <v>3684</v>
      </c>
      <c r="B56" s="4" t="s">
        <v>3650</v>
      </c>
      <c r="C56">
        <v>1</v>
      </c>
      <c r="D56" s="4" t="s">
        <v>3650</v>
      </c>
      <c r="E56" s="4" t="s">
        <v>3706</v>
      </c>
      <c r="F56" s="4" t="s">
        <v>3653</v>
      </c>
    </row>
    <row r="57" spans="1:7" x14ac:dyDescent="0.2">
      <c r="A57" t="s">
        <v>3684</v>
      </c>
      <c r="B57" t="s">
        <v>3650</v>
      </c>
      <c r="C57">
        <v>1</v>
      </c>
      <c r="D57" t="s">
        <v>3650</v>
      </c>
      <c r="E57" t="s">
        <v>3696</v>
      </c>
      <c r="F57" t="s">
        <v>3653</v>
      </c>
    </row>
    <row r="58" spans="1:7" x14ac:dyDescent="0.2">
      <c r="A58" t="s">
        <v>3684</v>
      </c>
      <c r="B58" s="4" t="s">
        <v>3650</v>
      </c>
      <c r="C58">
        <v>1</v>
      </c>
      <c r="D58" t="s">
        <v>3639</v>
      </c>
      <c r="E58" t="s">
        <v>3635</v>
      </c>
      <c r="F58" t="s">
        <v>3633</v>
      </c>
    </row>
    <row r="59" spans="1:7" x14ac:dyDescent="0.2">
      <c r="A59" t="s">
        <v>3656</v>
      </c>
      <c r="B59" t="s">
        <v>3735</v>
      </c>
      <c r="C59">
        <v>2</v>
      </c>
      <c r="D59" t="s">
        <v>3650</v>
      </c>
      <c r="E59" t="s">
        <v>3802</v>
      </c>
      <c r="F59" t="s">
        <v>3708</v>
      </c>
    </row>
    <row r="60" spans="1:7" x14ac:dyDescent="0.2">
      <c r="A60" t="s">
        <v>3694</v>
      </c>
      <c r="B60" t="s">
        <v>3639</v>
      </c>
      <c r="C60">
        <v>1</v>
      </c>
      <c r="D60" t="s">
        <v>3639</v>
      </c>
      <c r="E60" t="s">
        <v>3696</v>
      </c>
      <c r="F60" t="s">
        <v>3653</v>
      </c>
    </row>
    <row r="61" spans="1:7" x14ac:dyDescent="0.2">
      <c r="A61" s="4" t="s">
        <v>3658</v>
      </c>
      <c r="B61" t="s">
        <v>3639</v>
      </c>
      <c r="C61">
        <v>1</v>
      </c>
      <c r="D61" t="s">
        <v>3639</v>
      </c>
      <c r="E61" t="s">
        <v>3635</v>
      </c>
      <c r="F61" t="s">
        <v>3633</v>
      </c>
    </row>
    <row r="62" spans="1:7" x14ac:dyDescent="0.2">
      <c r="A62" t="s">
        <v>3667</v>
      </c>
      <c r="B62" t="s">
        <v>3735</v>
      </c>
      <c r="C62">
        <v>2</v>
      </c>
      <c r="D62" t="s">
        <v>3639</v>
      </c>
      <c r="E62" t="s">
        <v>3802</v>
      </c>
      <c r="F62" t="s">
        <v>3708</v>
      </c>
    </row>
    <row r="63" spans="1:7" x14ac:dyDescent="0.2">
      <c r="A63" t="s">
        <v>3876</v>
      </c>
      <c r="B63" t="s">
        <v>3650</v>
      </c>
      <c r="C63">
        <v>3</v>
      </c>
      <c r="D63" t="s">
        <v>3650</v>
      </c>
      <c r="E63" t="s">
        <v>3721</v>
      </c>
      <c r="F63" t="s">
        <v>3963</v>
      </c>
    </row>
    <row r="64" spans="1:7" x14ac:dyDescent="0.2">
      <c r="A64" t="s">
        <v>3657</v>
      </c>
      <c r="B64" t="s">
        <v>3639</v>
      </c>
      <c r="C64">
        <v>0</v>
      </c>
      <c r="D64" t="s">
        <v>3639</v>
      </c>
      <c r="E64" t="s">
        <v>3635</v>
      </c>
      <c r="F64" t="s">
        <v>3633</v>
      </c>
    </row>
    <row r="65" spans="1:6" x14ac:dyDescent="0.2">
      <c r="A65" t="s">
        <v>3658</v>
      </c>
      <c r="B65" t="s">
        <v>3639</v>
      </c>
      <c r="C65">
        <v>1</v>
      </c>
      <c r="D65" t="s">
        <v>3650</v>
      </c>
      <c r="E65" t="s">
        <v>3651</v>
      </c>
      <c r="F65" t="s">
        <v>3653</v>
      </c>
    </row>
    <row r="66" spans="1:6" x14ac:dyDescent="0.2">
      <c r="A66" t="s">
        <v>3798</v>
      </c>
      <c r="B66" t="s">
        <v>3639</v>
      </c>
      <c r="C66">
        <v>1</v>
      </c>
      <c r="D66" s="4" t="s">
        <v>3650</v>
      </c>
      <c r="E66" t="s">
        <v>3706</v>
      </c>
      <c r="F66" t="s">
        <v>3653</v>
      </c>
    </row>
    <row r="67" spans="1:6" x14ac:dyDescent="0.2">
      <c r="A67" t="s">
        <v>3637</v>
      </c>
      <c r="B67" t="s">
        <v>3639</v>
      </c>
      <c r="C67">
        <v>0</v>
      </c>
      <c r="D67" t="s">
        <v>3639</v>
      </c>
      <c r="E67" t="s">
        <v>3635</v>
      </c>
      <c r="F67" t="s">
        <v>3633</v>
      </c>
    </row>
    <row r="68" spans="1:6" x14ac:dyDescent="0.2">
      <c r="A68" t="s">
        <v>3679</v>
      </c>
      <c r="B68" t="s">
        <v>3639</v>
      </c>
      <c r="C68">
        <v>0</v>
      </c>
      <c r="D68" s="4" t="s">
        <v>3650</v>
      </c>
      <c r="E68" t="s">
        <v>3651</v>
      </c>
      <c r="F68" t="s">
        <v>3653</v>
      </c>
    </row>
    <row r="69" spans="1:6" x14ac:dyDescent="0.2">
      <c r="A69" t="s">
        <v>3684</v>
      </c>
      <c r="B69" t="s">
        <v>3650</v>
      </c>
      <c r="C69">
        <v>1</v>
      </c>
      <c r="D69" t="s">
        <v>3650</v>
      </c>
      <c r="E69" t="s">
        <v>3706</v>
      </c>
      <c r="F69" t="s">
        <v>3653</v>
      </c>
    </row>
    <row r="70" spans="1:6" x14ac:dyDescent="0.2">
      <c r="A70" t="s">
        <v>3798</v>
      </c>
      <c r="B70" t="s">
        <v>3639</v>
      </c>
      <c r="C70">
        <v>0</v>
      </c>
      <c r="D70" t="s">
        <v>3639</v>
      </c>
      <c r="E70" t="s">
        <v>3635</v>
      </c>
      <c r="F70" s="4" t="s">
        <v>3653</v>
      </c>
    </row>
    <row r="71" spans="1:6" x14ac:dyDescent="0.2">
      <c r="A71" s="4" t="s">
        <v>3684</v>
      </c>
      <c r="B71" s="4" t="s">
        <v>3650</v>
      </c>
      <c r="C71">
        <v>1</v>
      </c>
      <c r="D71" s="4" t="s">
        <v>3650</v>
      </c>
      <c r="E71" s="4" t="s">
        <v>3706</v>
      </c>
      <c r="F71" s="4" t="s">
        <v>3653</v>
      </c>
    </row>
    <row r="72" spans="1:6" x14ac:dyDescent="0.2">
      <c r="A72" s="4" t="s">
        <v>3667</v>
      </c>
      <c r="B72" s="4" t="s">
        <v>3735</v>
      </c>
      <c r="C72">
        <v>0</v>
      </c>
      <c r="D72" s="4" t="s">
        <v>3650</v>
      </c>
      <c r="E72" s="4" t="s">
        <v>3706</v>
      </c>
      <c r="F72" s="4" t="s">
        <v>3723</v>
      </c>
    </row>
    <row r="73" spans="1:6" x14ac:dyDescent="0.2">
      <c r="A73" s="4" t="s">
        <v>3667</v>
      </c>
      <c r="B73" s="4" t="s">
        <v>3650</v>
      </c>
      <c r="C73">
        <v>2</v>
      </c>
      <c r="D73" s="4" t="s">
        <v>3650</v>
      </c>
      <c r="E73" s="4" t="s">
        <v>3651</v>
      </c>
      <c r="F73" s="4" t="s">
        <v>3653</v>
      </c>
    </row>
    <row r="74" spans="1:6" x14ac:dyDescent="0.2">
      <c r="A74" s="4" t="s">
        <v>3658</v>
      </c>
      <c r="B74" s="4" t="s">
        <v>3639</v>
      </c>
      <c r="C74">
        <v>1</v>
      </c>
      <c r="D74" s="4" t="s">
        <v>3650</v>
      </c>
      <c r="E74" s="4" t="s">
        <v>3696</v>
      </c>
      <c r="F74" s="4" t="s">
        <v>3653</v>
      </c>
    </row>
    <row r="75" spans="1:6" x14ac:dyDescent="0.2">
      <c r="A75" s="4" t="s">
        <v>3667</v>
      </c>
      <c r="B75" s="4" t="s">
        <v>3650</v>
      </c>
      <c r="C75">
        <v>2</v>
      </c>
      <c r="D75" s="4" t="s">
        <v>3650</v>
      </c>
      <c r="E75" s="4" t="s">
        <v>4029</v>
      </c>
      <c r="F75" s="4" t="s">
        <v>3653</v>
      </c>
    </row>
    <row r="76" spans="1:6" x14ac:dyDescent="0.2">
      <c r="A76" s="4" t="s">
        <v>3658</v>
      </c>
      <c r="B76" s="4" t="s">
        <v>3639</v>
      </c>
      <c r="C76">
        <v>1</v>
      </c>
      <c r="D76" s="4" t="s">
        <v>3650</v>
      </c>
      <c r="E76" s="4" t="s">
        <v>3651</v>
      </c>
      <c r="F76" s="4" t="s">
        <v>3653</v>
      </c>
    </row>
    <row r="77" spans="1:6" x14ac:dyDescent="0.2">
      <c r="A77" s="4" t="s">
        <v>3658</v>
      </c>
      <c r="B77" s="4" t="s">
        <v>3650</v>
      </c>
      <c r="C77">
        <v>2</v>
      </c>
      <c r="D77" s="4" t="s">
        <v>3650</v>
      </c>
      <c r="E77" s="4" t="s">
        <v>3696</v>
      </c>
      <c r="F77" s="4" t="s">
        <v>3653</v>
      </c>
    </row>
    <row r="78" spans="1:6" x14ac:dyDescent="0.2">
      <c r="A78" s="4" t="s">
        <v>3667</v>
      </c>
      <c r="B78" s="4" t="s">
        <v>3639</v>
      </c>
      <c r="C78">
        <v>0</v>
      </c>
      <c r="D78" s="4" t="s">
        <v>3639</v>
      </c>
      <c r="E78" s="4" t="s">
        <v>3670</v>
      </c>
      <c r="F78">
        <v>0</v>
      </c>
    </row>
    <row r="79" spans="1:6" x14ac:dyDescent="0.2">
      <c r="A79" s="4" t="s">
        <v>3667</v>
      </c>
      <c r="B79" s="4" t="s">
        <v>3650</v>
      </c>
      <c r="C79">
        <v>3</v>
      </c>
      <c r="D79" s="4" t="s">
        <v>3639</v>
      </c>
      <c r="E79" s="4" t="s">
        <v>3802</v>
      </c>
      <c r="F79" s="4" t="s">
        <v>3708</v>
      </c>
    </row>
    <row r="80" spans="1:6" x14ac:dyDescent="0.2">
      <c r="A80" s="4" t="s">
        <v>3667</v>
      </c>
      <c r="B80" s="4" t="s">
        <v>3639</v>
      </c>
      <c r="C80">
        <v>1</v>
      </c>
      <c r="D80" s="4" t="s">
        <v>3639</v>
      </c>
      <c r="E80" s="4" t="s">
        <v>3721</v>
      </c>
      <c r="F80" s="4" t="s">
        <v>3653</v>
      </c>
    </row>
    <row r="81" spans="1:7" x14ac:dyDescent="0.2">
      <c r="A81" s="4" t="s">
        <v>3647</v>
      </c>
      <c r="B81" s="4" t="s">
        <v>3735</v>
      </c>
      <c r="C81">
        <v>0</v>
      </c>
      <c r="D81" s="4" t="s">
        <v>3650</v>
      </c>
      <c r="E81" s="4" t="s">
        <v>3706</v>
      </c>
      <c r="F81" s="4" t="s">
        <v>3653</v>
      </c>
    </row>
    <row r="82" spans="1:7" x14ac:dyDescent="0.2">
      <c r="A82" s="4" t="s">
        <v>3637</v>
      </c>
      <c r="B82" s="4" t="s">
        <v>3735</v>
      </c>
      <c r="C82">
        <v>2</v>
      </c>
      <c r="D82" s="4" t="s">
        <v>3639</v>
      </c>
      <c r="E82" s="4" t="s">
        <v>3670</v>
      </c>
      <c r="F82">
        <v>0</v>
      </c>
    </row>
    <row r="83" spans="1:7" x14ac:dyDescent="0.2">
      <c r="A83" s="4" t="s">
        <v>3637</v>
      </c>
      <c r="B83" s="4" t="s">
        <v>3639</v>
      </c>
      <c r="C83">
        <v>0</v>
      </c>
      <c r="D83" s="4" t="s">
        <v>3639</v>
      </c>
      <c r="E83" s="4" t="s">
        <v>3635</v>
      </c>
      <c r="F83" s="4" t="s">
        <v>3633</v>
      </c>
    </row>
    <row r="84" spans="1:7" x14ac:dyDescent="0.2">
      <c r="A84" s="4" t="s">
        <v>3647</v>
      </c>
      <c r="B84" s="4" t="s">
        <v>3650</v>
      </c>
      <c r="C84">
        <v>2</v>
      </c>
      <c r="D84" s="4" t="s">
        <v>3650</v>
      </c>
      <c r="E84" s="4" t="s">
        <v>3706</v>
      </c>
      <c r="F84" s="4" t="s">
        <v>4176</v>
      </c>
      <c r="G84" s="4" t="s">
        <v>4073</v>
      </c>
    </row>
    <row r="85" spans="1:7" x14ac:dyDescent="0.2">
      <c r="A85" s="4" t="s">
        <v>3637</v>
      </c>
      <c r="B85" s="4" t="s">
        <v>3639</v>
      </c>
      <c r="C85">
        <v>0</v>
      </c>
      <c r="D85" s="4" t="s">
        <v>3639</v>
      </c>
      <c r="E85" s="4" t="s">
        <v>3635</v>
      </c>
      <c r="F85" s="4" t="s">
        <v>3633</v>
      </c>
    </row>
    <row r="86" spans="1:7" x14ac:dyDescent="0.2">
      <c r="A86" s="4" t="s">
        <v>3876</v>
      </c>
      <c r="B86" s="4" t="s">
        <v>3650</v>
      </c>
      <c r="C86">
        <v>3</v>
      </c>
      <c r="D86" s="4" t="s">
        <v>3650</v>
      </c>
      <c r="E86" s="4" t="s">
        <v>3670</v>
      </c>
      <c r="F86">
        <v>0</v>
      </c>
    </row>
    <row r="87" spans="1:7" x14ac:dyDescent="0.2">
      <c r="A87" s="4" t="s">
        <v>3684</v>
      </c>
      <c r="B87" s="4" t="s">
        <v>3650</v>
      </c>
      <c r="C87">
        <v>1</v>
      </c>
      <c r="D87" s="4" t="s">
        <v>3650</v>
      </c>
      <c r="E87" s="4" t="s">
        <v>3706</v>
      </c>
      <c r="F87" s="4" t="s">
        <v>3653</v>
      </c>
    </row>
    <row r="88" spans="1:7" x14ac:dyDescent="0.2">
      <c r="A88" s="4" t="s">
        <v>3657</v>
      </c>
      <c r="B88" s="4" t="s">
        <v>3650</v>
      </c>
      <c r="C88">
        <v>0</v>
      </c>
      <c r="D88" s="4" t="s">
        <v>3650</v>
      </c>
      <c r="E88" s="4" t="s">
        <v>3651</v>
      </c>
      <c r="F88" s="4" t="s">
        <v>3653</v>
      </c>
    </row>
    <row r="89" spans="1:7" x14ac:dyDescent="0.2">
      <c r="A89" s="4" t="s">
        <v>3637</v>
      </c>
      <c r="B89" s="4" t="s">
        <v>3639</v>
      </c>
      <c r="C89">
        <v>0</v>
      </c>
      <c r="D89" s="4" t="s">
        <v>3639</v>
      </c>
      <c r="E89" s="4" t="s">
        <v>3635</v>
      </c>
      <c r="F89" s="4" t="s">
        <v>3633</v>
      </c>
    </row>
    <row r="90" spans="1:7" x14ac:dyDescent="0.2">
      <c r="A90" s="4" t="s">
        <v>3679</v>
      </c>
      <c r="B90" s="4" t="s">
        <v>3639</v>
      </c>
      <c r="C90">
        <v>0</v>
      </c>
      <c r="D90" s="4" t="s">
        <v>3650</v>
      </c>
      <c r="E90" s="4" t="s">
        <v>3651</v>
      </c>
      <c r="F90" s="4" t="s">
        <v>3653</v>
      </c>
    </row>
    <row r="91" spans="1:7" x14ac:dyDescent="0.2">
      <c r="A91" s="4" t="s">
        <v>3637</v>
      </c>
      <c r="B91" s="4" t="s">
        <v>3639</v>
      </c>
      <c r="C91">
        <v>0</v>
      </c>
      <c r="D91" s="4" t="s">
        <v>3639</v>
      </c>
      <c r="E91" s="4" t="s">
        <v>3635</v>
      </c>
      <c r="F91" s="4" t="s">
        <v>3633</v>
      </c>
    </row>
    <row r="92" spans="1:7" x14ac:dyDescent="0.2">
      <c r="A92" s="4" t="s">
        <v>3637</v>
      </c>
      <c r="B92" s="4" t="s">
        <v>3639</v>
      </c>
      <c r="C92">
        <v>0</v>
      </c>
      <c r="D92" s="4" t="s">
        <v>3639</v>
      </c>
      <c r="E92" s="4" t="s">
        <v>3635</v>
      </c>
      <c r="F92" s="4" t="s">
        <v>3633</v>
      </c>
    </row>
    <row r="93" spans="1:7" x14ac:dyDescent="0.2">
      <c r="A93" s="4" t="s">
        <v>3876</v>
      </c>
      <c r="B93" s="4" t="s">
        <v>3650</v>
      </c>
      <c r="C93">
        <v>2</v>
      </c>
      <c r="D93" s="4" t="s">
        <v>3650</v>
      </c>
      <c r="E93" s="4" t="s">
        <v>3721</v>
      </c>
      <c r="F93" s="4" t="s">
        <v>3653</v>
      </c>
    </row>
    <row r="94" spans="1:7" x14ac:dyDescent="0.2">
      <c r="A94" s="4" t="s">
        <v>3656</v>
      </c>
      <c r="B94" s="4" t="s">
        <v>3735</v>
      </c>
      <c r="C94">
        <v>0</v>
      </c>
      <c r="D94" s="4" t="s">
        <v>3639</v>
      </c>
      <c r="E94" s="4" t="s">
        <v>3635</v>
      </c>
      <c r="F94" s="4" t="s">
        <v>3653</v>
      </c>
    </row>
    <row r="95" spans="1:7" x14ac:dyDescent="0.2">
      <c r="A95" s="4" t="s">
        <v>3684</v>
      </c>
      <c r="B95" s="4" t="s">
        <v>3650</v>
      </c>
      <c r="C95">
        <v>0</v>
      </c>
      <c r="D95" s="4" t="s">
        <v>3639</v>
      </c>
      <c r="E95" s="4" t="s">
        <v>3670</v>
      </c>
      <c r="F95">
        <v>0</v>
      </c>
    </row>
    <row r="96" spans="1:7" x14ac:dyDescent="0.2">
      <c r="A96" s="4" t="s">
        <v>3798</v>
      </c>
      <c r="B96" s="4" t="s">
        <v>3639</v>
      </c>
      <c r="C96">
        <v>0</v>
      </c>
      <c r="D96" s="4" t="s">
        <v>3639</v>
      </c>
      <c r="E96" s="4" t="s">
        <v>3670</v>
      </c>
      <c r="F96">
        <v>0</v>
      </c>
    </row>
    <row r="97" spans="1:6" x14ac:dyDescent="0.2">
      <c r="A97" s="4" t="s">
        <v>3647</v>
      </c>
      <c r="B97" s="4" t="s">
        <v>3650</v>
      </c>
      <c r="C97">
        <v>3</v>
      </c>
      <c r="D97" s="4" t="s">
        <v>3650</v>
      </c>
      <c r="E97" s="4" t="s">
        <v>3651</v>
      </c>
      <c r="F97" s="4" t="s">
        <v>3653</v>
      </c>
    </row>
    <row r="98" spans="1:6" x14ac:dyDescent="0.2">
      <c r="A98" s="4" t="s">
        <v>3694</v>
      </c>
      <c r="B98" s="4" t="s">
        <v>3650</v>
      </c>
      <c r="C98">
        <v>2</v>
      </c>
      <c r="D98" s="4" t="s">
        <v>3650</v>
      </c>
      <c r="E98" s="4" t="s">
        <v>3721</v>
      </c>
      <c r="F98" s="4" t="s">
        <v>3653</v>
      </c>
    </row>
    <row r="99" spans="1:6" x14ac:dyDescent="0.2">
      <c r="A99" s="4" t="s">
        <v>3656</v>
      </c>
      <c r="B99" s="4" t="s">
        <v>3639</v>
      </c>
      <c r="C99">
        <v>0</v>
      </c>
      <c r="D99" s="4" t="s">
        <v>3639</v>
      </c>
      <c r="E99" s="4" t="s">
        <v>3670</v>
      </c>
      <c r="F99">
        <v>0</v>
      </c>
    </row>
    <row r="100" spans="1:6" x14ac:dyDescent="0.2">
      <c r="A100" s="4" t="s">
        <v>3667</v>
      </c>
      <c r="B100" s="4" t="s">
        <v>3650</v>
      </c>
      <c r="C100">
        <v>2</v>
      </c>
      <c r="D100" s="4" t="s">
        <v>3639</v>
      </c>
      <c r="E100" s="4" t="s">
        <v>3651</v>
      </c>
      <c r="F100" s="4" t="s">
        <v>3653</v>
      </c>
    </row>
    <row r="101" spans="1:6" x14ac:dyDescent="0.2">
      <c r="A101" s="4" t="s">
        <v>3798</v>
      </c>
      <c r="B101" s="4" t="s">
        <v>3639</v>
      </c>
      <c r="C101">
        <v>0</v>
      </c>
      <c r="D101" s="4" t="s">
        <v>3639</v>
      </c>
      <c r="E101" s="4" t="s">
        <v>3670</v>
      </c>
      <c r="F101">
        <v>0</v>
      </c>
    </row>
    <row r="102" spans="1:6" x14ac:dyDescent="0.2">
      <c r="A102" s="4" t="s">
        <v>3657</v>
      </c>
      <c r="B102" s="4" t="s">
        <v>3650</v>
      </c>
      <c r="C102">
        <v>1</v>
      </c>
      <c r="D102" s="4" t="s">
        <v>3650</v>
      </c>
      <c r="E102" s="4" t="s">
        <v>3651</v>
      </c>
      <c r="F102" s="4" t="s">
        <v>3653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savedrecs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Janelle Kaz</dc:creator>
  <cp:lastModifiedBy>Kaczmarzewski, Janelle</cp:lastModifiedBy>
  <dcterms:created xsi:type="dcterms:W3CDTF">2026-08-11T16:45:15Z</dcterms:created>
  <dcterms:modified xsi:type="dcterms:W3CDTF">2026-10-10T14:02:17Z</dcterms:modified>
</cp:coreProperties>
</file>